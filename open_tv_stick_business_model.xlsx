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Products" sheetId="3" state="visible" r:id="rId5"/>
    <sheet name="Projection" sheetId="4" state="visible" r:id="rId6"/>
    <sheet name="Sensitivity" sheetId="5" state="visible" r:id="rId7"/>
    <sheet name="Competito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<sst xmlns="http://schemas.openxmlformats.org/spreadsheetml/2006/main" count="321" uniqueCount="259">
  <si>
    <t xml:space="preserve">Open TV Stick - pay-once business model</t>
  </si>
  <si>
    <t xml:space="preserve">Purpose</t>
  </si>
  <si>
    <t xml:space="preserve">Five-year model (2027-2031) for an open-source TV stick sold on a pay-once basis: no subscriptions, no ads on the home screen.</t>
  </si>
  <si>
    <t xml:space="preserve">How to use</t>
  </si>
  <si>
    <t xml:space="preserve">Change the blue cells on Assumptions and Products. Everything else recalculates. Yellow-filled cells are the main levers.</t>
  </si>
  <si>
    <t xml:space="preserve">Color key</t>
  </si>
  <si>
    <t xml:space="preserve">Blue text</t>
  </si>
  <si>
    <t xml:space="preserve">Hardcoded input you can change</t>
  </si>
  <si>
    <t xml:space="preserve">Black text</t>
  </si>
  <si>
    <t xml:space="preserve">Formula</t>
  </si>
  <si>
    <t xml:space="preserve">Green text</t>
  </si>
  <si>
    <t xml:space="preserve">Formula that pulls from another sheet</t>
  </si>
  <si>
    <t xml:space="preserve">Yellow fill</t>
  </si>
  <si>
    <t xml:space="preserve">Key lever (prices, volumes, starting cash)</t>
  </si>
  <si>
    <t xml:space="preserve">Sheets</t>
  </si>
  <si>
    <t xml:space="preserve">Assumptions</t>
  </si>
  <si>
    <t xml:space="preserve">Channel, staffing, fixed costs, licensing fees, other revenue streams, yearly volumes.</t>
  </si>
  <si>
    <t xml:space="preserve">Products</t>
  </si>
  <si>
    <t xml:space="preserve">Price and per-unit costs for each product, plus per-unit contribution at direct and retail.</t>
  </si>
  <si>
    <t xml:space="preserve">Projection</t>
  </si>
  <si>
    <t xml:space="preserve">Five-year volumes, revenue by stream, contribution, fixed costs, operating income, cash, and the maintenance-reserve check.</t>
  </si>
  <si>
    <t xml:space="preserve">Sensitivity</t>
  </si>
  <si>
    <t xml:space="preserve">Operating income for a chosen year across stick price and stick volume.</t>
  </si>
  <si>
    <t xml:space="preserve">Competitors</t>
  </si>
  <si>
    <t xml:space="preserve">Current competitor prices with sources, for positioning.</t>
  </si>
  <si>
    <t xml:space="preserve">Key simplifications</t>
  </si>
  <si>
    <t xml:space="preserve">Cash</t>
  </si>
  <si>
    <t xml:space="preserve">Cash = starting cash + cumulative operating income. Ignores inventory deposits to the ODM, payment timing, taxes, and financing. Real cash needs will be higher in growth years because inventory is paid before it sells.</t>
  </si>
  <si>
    <t xml:space="preserve">Other revenue</t>
  </si>
  <si>
    <t xml:space="preserve">FAST revenue share, referral fees, and B2B licensing are placeholders with no contracts behind them. Treated as having no direct cost.</t>
  </si>
  <si>
    <t xml:space="preserve">Royalties</t>
  </si>
  <si>
    <t xml:space="preserve">Per-unit royalties are a blended estimate (HDMI with logo, H.264, HEVC, AAC). HDMI annual fees are calculated separately and pick the cheaper tier automatically.</t>
  </si>
  <si>
    <t xml:space="preserve">The price/volume grid flexes stick contribution only. Marketing %, HDMI fees, accessories, and installed-base revenue are held at the reference year's values.</t>
  </si>
  <si>
    <t xml:space="preserve">Disclaimer</t>
  </si>
  <si>
    <t xml:space="preserve">Planning estimates, not financial, legal, or tax advice. Verify licensing terms and supplier quotes before relying on these numbers.</t>
  </si>
  <si>
    <t xml:space="preserve">Blue = input. Single values go in column B; values that change by year go in columns C-G.</t>
  </si>
  <si>
    <t xml:space="preserve">Assumption</t>
  </si>
  <si>
    <t xml:space="preserve">Value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</si>
  <si>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</si>
  <si>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</si>
  <si>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</si>
  <si>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</si>
  <si>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</si>
  <si>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Notes / source</t>
  </si>
  <si>
    <t xml:space="preserve">Sales volumes (units per year)</t>
  </si>
  <si>
    <t xml:space="preserve">Stick units</t>
  </si>
  <si>
    <t xml:space="preserve">Main product. Early years are mostly pre-orders and direct sales to enthusiasts.</t>
  </si>
  <si>
    <t xml:space="preserve">Pro puck units</t>
  </si>
  <si>
    <t xml:space="preserve">Higher-end box: more RAM, gigabit Ethernet. Competes with Shield / Google TV Streamer.</t>
  </si>
  <si>
    <t xml:space="preserve">DIY remote kit units</t>
  </si>
  <si>
    <t xml:space="preserve">Maker product; sold direct only.</t>
  </si>
  <si>
    <t xml:space="preserve">OTA tuner add-on units</t>
  </si>
  <si>
    <t xml:space="preserve">Separate SKU so ATSC royalties apply only to buyers who want OTA.</t>
  </si>
  <si>
    <t xml:space="preserve">Accessory attach rate (% of stick + pro units)</t>
  </si>
  <si>
    <t xml:space="preserve">Cases, cables, replacement and premium remotes.</t>
  </si>
  <si>
    <t xml:space="preserve">Codec unlock attach rate (% of stick + pro units)</t>
  </si>
  <si>
    <t xml:space="preserve">Optional one-time HEVC/Dolby unlock (see Products). Set to 0% if you include codecs by default.</t>
  </si>
  <si>
    <t xml:space="preserve">Channel and per-unit cost rates</t>
  </si>
  <si>
    <t xml:space="preserve">Direct-to-consumer share of retail-eligible sales</t>
  </si>
  <si>
    <t xml:space="preserve">Start 100% direct; add retail later. Only applies to products flagged retail-eligible on Products.</t>
  </si>
  <si>
    <t xml:space="preserve">Retailer margin (% of retail price)</t>
  </si>
  <si>
    <t xml:space="preserve">Typical consumer-electronics retail margin is roughly 25-35%. Estimate.</t>
  </si>
  <si>
    <t xml:space="preserve">Payment processing (% of net revenue)</t>
  </si>
  <si>
    <t xml:space="preserve">Card and platform fees. Estimate.</t>
  </si>
  <si>
    <t xml:space="preserve">Returns and warranty (% of net revenue)</t>
  </si>
  <si>
    <t xml:space="preserve">Estimate for first-generation hardware.</t>
  </si>
  <si>
    <t xml:space="preserve">Installed-base revenue (placeholders: no contracts yet)</t>
  </si>
  <si>
    <t xml:space="preserve">Active device rate (% of all devices sold still in use)</t>
  </si>
  <si>
    <t xml:space="preserve">Applied to cumulative stick + pro units.</t>
  </si>
  <si>
    <t xml:space="preserve">FAST revenue share ($ per active device per year)</t>
  </si>
  <si>
    <t xml:space="preserve">Your share of ad revenue inside FAST channels you carry natively. Placeholder; depends on partner deals.</t>
  </si>
  <si>
    <t xml:space="preserve">Referral sign-up rate (% of active devices per year)</t>
  </si>
  <si>
    <t xml:space="preserve">Users who subscribe to a paid service through the launcher. Disclosed to users.</t>
  </si>
  <si>
    <t xml:space="preserve">Referral bounty ($ per sign-up)</t>
  </si>
  <si>
    <t xml:space="preserve">Placeholder; varies widely by service.</t>
  </si>
  <si>
    <t xml:space="preserve">B2B licensing deals (count)</t>
  </si>
  <si>
    <t xml:space="preserve">Hotels, libraries, schools, ISPs, other hardware makers licensing the launcher/OS.</t>
  </si>
  <si>
    <t xml:space="preserve">Average B2B license fee ($ per deal per year)</t>
  </si>
  <si>
    <t xml:space="preserve">Placeholder.</t>
  </si>
  <si>
    <t xml:space="preserve">Community funding ($)</t>
  </si>
  <si>
    <t xml:space="preserve">Open Collective / sponsorships for the open-source OS.</t>
  </si>
  <si>
    <t xml:space="preserve">Team and operating costs</t>
  </si>
  <si>
    <t xml:space="preserve">Loaded cost per staff member ($ per year)</t>
  </si>
  <si>
    <t xml:space="preserve">Salary + benefits + payroll tax, US. Lower if hiring remotely or abroad.</t>
  </si>
  <si>
    <t xml:space="preserve">Software engineers (FTE)</t>
  </si>
  <si>
    <t xml:space="preserve">Launcher, Android/BSP maintenance, security updates. This is the cost the pay-once promise must fund.</t>
  </si>
  <si>
    <t xml:space="preserve">Hardware / product / ODM management (FTE)</t>
  </si>
  <si>
    <t xml:space="preserve">Marketing, fixed ($)</t>
  </si>
  <si>
    <t xml:space="preserve">Launch campaign, reviews, community.</t>
  </si>
  <si>
    <t xml:space="preserve">Marketing, variable (% of total revenue)</t>
  </si>
  <si>
    <t xml:space="preserve">G&amp;A: founders, legal, accounting, insurance, tools ($)</t>
  </si>
  <si>
    <t xml:space="preserve">Lean: founders on modest salaries early.</t>
  </si>
  <si>
    <t xml:space="preserve">Licensing, certification, and one-time costs</t>
  </si>
  <si>
    <t xml:space="preserve">HDMI low-volume tier: annual fee ($)</t>
  </si>
  <si>
    <t xml:space="preserve">Historically published HDMI Adopter terms (under 10,000 units/yr). Confirm with HDMI Licensing Administrator.</t>
  </si>
  <si>
    <t xml:space="preserve">HDMI low-volume tier: admin fee ($ per unit)</t>
  </si>
  <si>
    <t xml:space="preserve">Charged on top of the per-unit royalty in the low-volume tier.</t>
  </si>
  <si>
    <t xml:space="preserve">HDMI standard tier: annual fee ($)</t>
  </si>
  <si>
    <t xml:space="preserve">Model picks whichever tier is cheaper each year. Per-unit royalty is in Products.</t>
  </si>
  <si>
    <t xml:space="preserve">Bluetooth qualification fee ($ per new design)</t>
  </si>
  <si>
    <t xml:space="preserve">Bluetooth SIG fee schedule effective March 2026, Adopter full qualification. bluetooth.com/fee-schedule</t>
  </si>
  <si>
    <t xml:space="preserve">FCC / CE / safety certification ($ per new hardware design)</t>
  </si>
  <si>
    <t xml:space="preserve">Estimate; using pre-certified radio modules keeps this down.</t>
  </si>
  <si>
    <t xml:space="preserve">New hardware designs (count)</t>
  </si>
  <si>
    <t xml:space="preserve">2027: stick + remote. 2028: pro puck. 2029: tuner. 2031: stick v2.</t>
  </si>
  <si>
    <t xml:space="preserve">New Bluetooth designs (count)</t>
  </si>
  <si>
    <t xml:space="preserve">Designs with their own Bluetooth qualification. Tuner assumed USB-only.</t>
  </si>
  <si>
    <t xml:space="preserve">Tooling and ODM engineering (NRE) ($)</t>
  </si>
  <si>
    <t xml:space="preserve">Keypad and enclosure molds, ODM customization.</t>
  </si>
  <si>
    <t xml:space="preserve">Legal and licensing review ($)</t>
  </si>
  <si>
    <t xml:space="preserve">Codec pools, content agreements, terms of service.</t>
  </si>
  <si>
    <t xml:space="preserve">Pay-once promise and funding</t>
  </si>
  <si>
    <t xml:space="preserve">Maintenance reserve ($ set aside per stick / pro sold)</t>
  </si>
  <si>
    <t xml:space="preserve">Earmarked from margin to fund long-term updates. Compared against software team cost on Projection.</t>
  </si>
  <si>
    <t xml:space="preserve">Starting cash ($)</t>
  </si>
  <si>
    <t xml:space="preserve">Seed funding plus pre-order / crowdfunding proceeds. Placeholder.</t>
  </si>
  <si>
    <t xml:space="preserve">Products and per-unit economics</t>
  </si>
  <si>
    <t xml:space="preserve">Blue = input. Contribution = price after channel discount, minus processing/returns %, minus per-unit costs.</t>
  </si>
  <si>
    <t xml:space="preserve">Product</t>
  </si>
  <si>
    <t xml:space="preserve">Price</t>
  </si>
  <si>
    <t xml:space="preserve">Landed HW / COGS</t>
  </si>
  <si>
    <t xml:space="preserve">Fulfillment</t>
  </si>
  <si>
    <t xml:space="preserve">Support</t>
  </si>
  <si>
    <t xml:space="preserve">Retail eligible (1/0)</t>
  </si>
  <si>
    <t xml:space="preserve">Variable cost / unit</t>
  </si>
  <si>
    <t xml:space="preserve">Contribution / unit (direct)</t>
  </si>
  <si>
    <t xml:space="preserve">Margin % (direct)</t>
  </si>
  <si>
    <t xml:space="preserve">Contribution / unit (retail)</t>
  </si>
  <si>
    <t xml:space="preserve">Notes</t>
  </si>
  <si>
    <t xml:space="preserve">Stick + remote + power dongle</t>
  </si>
  <si>
    <t xml:space="preserve">Landed ODM cost estimate. A comparable RK3539 4GB/32GB stick retails for $44.96 on AliExpress (cnx-software.com, Jun 2026), so factory cost is lower.</t>
  </si>
  <si>
    <t xml:space="preserve">Pro puck</t>
  </si>
  <si>
    <t xml:space="preserve">More RAM/storage, gigabit Ethernet. Estimate.</t>
  </si>
  <si>
    <t xml:space="preserve">DIY remote kit</t>
  </si>
  <si>
    <t xml:space="preserve">Sold direct only. Bluetooth qualification counted in fixed costs.</t>
  </si>
  <si>
    <t xml:space="preserve">OTA tuner add-on</t>
  </si>
  <si>
    <t xml:space="preserve">Avanci Broadcast has waived ATSC 3.0 fees on the first 75,000 units for new dongle makers who sign early; royalty here is a placeholder.</t>
  </si>
  <si>
    <t xml:space="preserve">Accessories (average)</t>
  </si>
  <si>
    <t xml:space="preserve">Volume = attach rate x devices sold (Assumptions).</t>
  </si>
  <si>
    <t xml:space="preserve">Codec unlock (digital)</t>
  </si>
  <si>
    <t xml:space="preserve">Volume = attach rate x devices sold. Royalty passed through to pools.</t>
  </si>
  <si>
    <t xml:space="preserve">Royalty blend for stick: HDMI ~$0.05 with logo, H.264, HEVC (low-price-device discount), AAC. Rough estimate; see licensing discussion.</t>
  </si>
  <si>
    <t xml:space="preserve">Five-year projection</t>
  </si>
  <si>
    <t xml:space="preserve">All formulas. Change inputs on Assumptions and Products.</t>
  </si>
  <si>
    <t xml:space="preserve">Line item</t>
  </si>
  <si>
    <t xml:space="preserve">Volumes</t>
  </si>
  <si>
    <t xml:space="preserve">OTA tuner units</t>
  </si>
  <si>
    <t xml:space="preserve">Devices sold (stick + pro)</t>
  </si>
  <si>
    <t xml:space="preserve">Accessory units</t>
  </si>
  <si>
    <t xml:space="preserve">Codec unlocks</t>
  </si>
  <si>
    <t xml:space="preserve">Cumulative devices sold</t>
  </si>
  <si>
    <t xml:space="preserve">Active installed base (end of year)</t>
  </si>
  <si>
    <t xml:space="preserve">Active installed base (average)</t>
  </si>
  <si>
    <t xml:space="preserve">Hardware and product economics</t>
  </si>
  <si>
    <t xml:space="preserve">  Gross revenue</t>
  </si>
  <si>
    <t xml:space="preserve">  Retailer margin</t>
  </si>
  <si>
    <t xml:space="preserve">  Net revenue</t>
  </si>
  <si>
    <t xml:space="preserve">  Processing and returns</t>
  </si>
  <si>
    <t xml:space="preserve">  Variable costs (COGS, royalties, fulfillment, support)</t>
  </si>
  <si>
    <t xml:space="preserve">  Contribution</t>
  </si>
  <si>
    <t xml:space="preserve">Revenue and contribution summary</t>
  </si>
  <si>
    <t xml:space="preserve">Hardware and product net revenue</t>
  </si>
  <si>
    <t xml:space="preserve">Hardware and product contribution</t>
  </si>
  <si>
    <t xml:space="preserve">FAST revenue share</t>
  </si>
  <si>
    <t xml:space="preserve">Referral fees</t>
  </si>
  <si>
    <t xml:space="preserve">B2B licensing</t>
  </si>
  <si>
    <t xml:space="preserve">Community funding</t>
  </si>
  <si>
    <t xml:space="preserve">Other revenue (no direct cost assumed)</t>
  </si>
  <si>
    <t xml:space="preserve">Total revenue</t>
  </si>
  <si>
    <t xml:space="preserve">Total contribution</t>
  </si>
  <si>
    <t xml:space="preserve">Fixed costs</t>
  </si>
  <si>
    <t xml:space="preserve">Software team</t>
  </si>
  <si>
    <t xml:space="preserve">Hardware / product team</t>
  </si>
  <si>
    <t xml:space="preserve">Marketing</t>
  </si>
  <si>
    <t xml:space="preserve">G&amp;A</t>
  </si>
  <si>
    <t xml:space="preserve">HDMI annual fees (cheaper tier)</t>
  </si>
  <si>
    <t xml:space="preserve">Bluetooth qualification</t>
  </si>
  <si>
    <t xml:space="preserve">Certification</t>
  </si>
  <si>
    <t xml:space="preserve">Tooling and NRE</t>
  </si>
  <si>
    <t xml:space="preserve">Legal and licensing review</t>
  </si>
  <si>
    <t xml:space="preserve">Total fixed costs</t>
  </si>
  <si>
    <t xml:space="preserve">Profit and cash</t>
  </si>
  <si>
    <t xml:space="preserve">Operating income</t>
  </si>
  <si>
    <t xml:space="preserve">Operating margin</t>
  </si>
  <si>
    <t xml:space="preserve">Cash at year end (simplified)</t>
  </si>
  <si>
    <t xml:space="preserve">Pay-once health checks</t>
  </si>
  <si>
    <t xml:space="preserve">Hardware contribution margin</t>
  </si>
  <si>
    <t xml:space="preserve">Maintenance reserve generated</t>
  </si>
  <si>
    <t xml:space="preserve">Software team cost</t>
  </si>
  <si>
    <t xml:space="preserve">Reserve coverage of software team (1.00x = fully funded)</t>
  </si>
  <si>
    <t xml:space="preserve">Stick contribution per unit (after channel mix)</t>
  </si>
  <si>
    <t xml:space="preserve">Break-even stick units (other volumes as planned)</t>
  </si>
  <si>
    <t xml:space="preserve">Stick units above (below) break-even</t>
  </si>
  <si>
    <t xml:space="preserve">Key outputs</t>
  </si>
  <si>
    <t xml:space="preserve">Lowest year-end cash</t>
  </si>
  <si>
    <t xml:space="preserve">Extra funding needed to keep cash above zero</t>
  </si>
  <si>
    <t xml:space="preserve">First profitable year</t>
  </si>
  <si>
    <t xml:space="preserve">Cumulative operating income, 5 years</t>
  </si>
  <si>
    <t xml:space="preserve">First year maintenance reserve fully funds software team</t>
  </si>
  <si>
    <t xml:space="preserve">Funding figure excludes inventory deposits; real need is higher (see Read Me).</t>
  </si>
  <si>
    <t xml:space="preserve">Sensitivity: stick price vs stick volume</t>
  </si>
  <si>
    <t xml:space="preserve">Operating income for the reference year if only stick price and stick units change. Everything else stays as planned for that year.</t>
  </si>
  <si>
    <t xml:space="preserve">Reference year</t>
  </si>
  <si>
    <t xml:space="preserve">Type one of 2027-2031</t>
  </si>
  <si>
    <t xml:space="preserve">Year index</t>
  </si>
  <si>
    <t xml:space="preserve">Operating income excluding stick contribution</t>
  </si>
  <si>
    <t xml:space="preserve">Direct share that year</t>
  </si>
  <si>
    <t xml:space="preserve">Stick variable cost per unit</t>
  </si>
  <si>
    <t xml:space="preserve">Stick price  ↓   /   stick units  →</t>
  </si>
  <si>
    <t xml:space="preserve">Edit the blue price and unit values to test other points. Red = loss, green = profit.</t>
  </si>
  <si>
    <t xml:space="preserve">Competitor pricing (US, checked October 2026)</t>
  </si>
  <si>
    <t xml:space="preserve">List prices after the mid-2026 industry-wide increases. Sale prices are frequent and deep, especially from Amazon.</t>
  </si>
  <si>
    <t xml:space="preserve">Device</t>
  </si>
  <si>
    <t xml:space="preserve">List price</t>
  </si>
  <si>
    <t xml:space="preserve">Recent sale price</t>
  </si>
  <si>
    <t xml:space="preserve">Source</t>
  </si>
  <si>
    <t xml:space="preserve">Amazon Fire TV Stick HD</t>
  </si>
  <si>
    <t xml:space="preserve">List price after Aug 2026 increase; sale via coupon.</t>
  </si>
  <si>
    <t xml:space="preserve">slickdeals.net, Aug 23 2026</t>
  </si>
  <si>
    <t xml:space="preserve">Amazon Fire TV Stick 4K Select</t>
  </si>
  <si>
    <t xml:space="preserve">Runs Vega OS; only Amazon Appstore apps (no sideloading).</t>
  </si>
  <si>
    <t xml:space="preserve">slickdeals.net Aug 2026; newsbytesapp.com Prime Day 2026</t>
  </si>
  <si>
    <t xml:space="preserve">Amazon Fire TV Stick 4K (2026)</t>
  </si>
  <si>
    <t xml:space="preserve">Sale during Prime Big Deal Days, Oct 2026.</t>
  </si>
  <si>
    <t xml:space="preserve">americantv.com, Oct 6 2026</t>
  </si>
  <si>
    <t xml:space="preserve">Amazon Fire TV Stick 4K Plus</t>
  </si>
  <si>
    <t xml:space="preserve">Sale via coupon.</t>
  </si>
  <si>
    <t xml:space="preserve">Amazon Fire TV Stick 4K Max</t>
  </si>
  <si>
    <t xml:space="preserve">n/a</t>
  </si>
  <si>
    <t xml:space="preserve">Raised from $59.99.</t>
  </si>
  <si>
    <t xml:space="preserve">digitaltrends.com, 2026</t>
  </si>
  <si>
    <t xml:space="preserve">Roku Streaming Stick</t>
  </si>
  <si>
    <t xml:space="preserve">Raised from $30 (Jul 2026).</t>
  </si>
  <si>
    <t xml:space="preserve">Ars Technica, Jul 24 2026; americantv.com Oct 2026</t>
  </si>
  <si>
    <t xml:space="preserve">Roku Streaming Stick Plus</t>
  </si>
  <si>
    <t xml:space="preserve">Raised from $40.</t>
  </si>
  <si>
    <t xml:space="preserve">Roku Streaming Stick 4K</t>
  </si>
  <si>
    <t xml:space="preserve">Raised from $50.</t>
  </si>
  <si>
    <t xml:space="preserve">Ars Technica, Jul 24 2026</t>
  </si>
  <si>
    <t xml:space="preserve">Roku Ultra</t>
  </si>
  <si>
    <t xml:space="preserve">Raised from $100.</t>
  </si>
  <si>
    <t xml:space="preserve">Walmart Onn 4K Plus</t>
  </si>
  <si>
    <t xml:space="preserve">Raised twice from $29.88.</t>
  </si>
  <si>
    <t xml:space="preserve">aftvnews.com, 2026</t>
  </si>
  <si>
    <t xml:space="preserve">Walmart Onn 4K Pro (2026)</t>
  </si>
  <si>
    <t xml:space="preserve">Strongest value Google TV box.</t>
  </si>
  <si>
    <t xml:space="preserve">androidauthority.com, Sep 1 2026</t>
  </si>
  <si>
    <t xml:space="preserve">Google TV Streamer</t>
  </si>
  <si>
    <t xml:space="preserve">Raised from $99.99 on Aug 31 2026, citing component costs.</t>
  </si>
  <si>
    <t xml:space="preserve">Apple TV 4K (Wi-Fi)</t>
  </si>
  <si>
    <t xml:space="preserve">Raised from $129; Ethernet model $249.</t>
  </si>
  <si>
    <t xml:space="preserve">Nvidia Shield TV Pro</t>
  </si>
  <si>
    <t xml:space="preserve">Enthusiast / home-media favorite.</t>
  </si>
  <si>
    <t xml:space="preserve">newsbytesapp.com, Prime Day 2026</t>
  </si>
  <si>
    <t xml:space="preserve">RK3539 stick, 4GB/32GB (generic)</t>
  </si>
  <si>
    <t xml:space="preserve">ODM reference point, AliExpress; not a retail competitor in the US.</t>
  </si>
  <si>
    <t xml:space="preserve">cnx-software.com, Jun 18 2026</t>
  </si>
  <si>
    <t xml:space="preserve">Your stick (from Products)</t>
  </si>
  <si>
    <t xml:space="preserve">Your pro puck (from Products)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</si>
</sst>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"/>
    <numFmt numFmtId="170" formatCode="0"/>
    <numFmt numFmtId="171" formatCode="0.00\x;\(0.00&quot;x)&quot;;\-"/>
    <numFmt numFmtId="172" formatCode="@"/>
    <numFmt numFmtId="173" formatCode="\$#,##0"/>
    <numFmt numFmtId="17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"Hardware and product"</c:f>
              <c:strCache>
                <c:ptCount val="1"/>
                <c:pt idx="0">
                  <c:v>Hardware and product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Projection!$C$61:$G$61</c:f>
              <c:numCache>
                <c:formatCode>\$#,##0;"($"#,##0\);\-</c:formatCode>
                <c:ptCount val="5"/>
                <c:pt idx="0">
                  <c:v>728339.5</c:v>
                </c:pt>
                <c:pt idx="1">
                  <c:v>2029654</c:v>
                </c:pt>
                <c:pt idx="2">
                  <c:v>3949533</c:v>
                </c:pt>
                <c:pt idx="3">
                  <c:v>5802144.5</c:v>
                </c:pt>
                <c:pt idx="4">
                  <c:v>7482862.5</c:v>
                </c:pt>
              </c:numCache>
            </c:numRef>
          </c:val>
        </c:ser>
        <c:ser>
          <c:idx val="1"/>
          <c:order val="1"/>
          <c:tx>
            <c:strRef>
              <c:f>"FAST share"</c:f>
              <c:strCache>
                <c:ptCount val="1"/>
                <c:pt idx="0">
                  <c:v>FAST share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Projection!$C$63:$G$63</c:f>
              <c:numCache>
                <c:formatCode>\$#,##0;"($"#,##0\);\-</c:formatCode>
                <c:ptCount val="5"/>
                <c:pt idx="0">
                  <c:v>2975</c:v>
                </c:pt>
                <c:pt idx="1">
                  <c:v>21037.5</c:v>
                </c:pt>
                <c:pt idx="2">
                  <c:v>76500</c:v>
                </c:pt>
                <c:pt idx="3">
                  <c:v>196562.5</c:v>
                </c:pt>
                <c:pt idx="4">
                  <c:v>404175</c:v>
                </c:pt>
              </c:numCache>
            </c:numRef>
          </c:val>
        </c:ser>
        <c:ser>
          <c:idx val="2"/>
          <c:order val="2"/>
          <c:tx>
            <c:strRef>
              <c:f>"Referrals"</c:f>
              <c:strCache>
                <c:ptCount val="1"/>
                <c:pt idx="0">
                  <c:v>Referrals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Projection!$C$64:$G$64</c:f>
              <c:numCache>
                <c:formatCode>\$#,##0;"($"#,##0\);\-</c:formatCode>
                <c:ptCount val="5"/>
                <c:pt idx="0">
                  <c:v>892.5</c:v>
                </c:pt>
                <c:pt idx="1">
                  <c:v>4207.5</c:v>
                </c:pt>
                <c:pt idx="2">
                  <c:v>11475</c:v>
                </c:pt>
                <c:pt idx="3">
                  <c:v>23587.5</c:v>
                </c:pt>
                <c:pt idx="4">
                  <c:v>40417.5</c:v>
                </c:pt>
              </c:numCache>
            </c:numRef>
          </c:val>
        </c:ser>
        <c:ser>
          <c:idx val="3"/>
          <c:order val="3"/>
          <c:tx>
            <c:strRef>
              <c:f>"B2B"</c:f>
              <c:strCache>
                <c:ptCount val="1"/>
                <c:pt idx="0">
                  <c:v>B2B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Projection!$C$65:$G$65</c:f>
              <c:numCache>
                <c:formatCode>\$#,##0;"($"#,##0\);\-</c:formatCode>
                <c:ptCount val="5"/>
                <c:pt idx="0">
                  <c:v>0</c:v>
                </c:pt>
                <c:pt idx="1">
                  <c:v>20000</c:v>
                </c:pt>
                <c:pt idx="2">
                  <c:v>60000</c:v>
                </c:pt>
                <c:pt idx="3">
                  <c:v>100000</c:v>
                </c:pt>
                <c:pt idx="4">
                  <c:v>160000</c:v>
                </c:pt>
              </c:numCache>
            </c:numRef>
          </c:val>
        </c:ser>
        <c:ser>
          <c:idx val="4"/>
          <c:order val="4"/>
          <c:tx>
            <c:strRef>
              <c:f>"Community"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Projection!$C$66:$G$66</c:f>
              <c:numCache>
                <c:formatCode>\$#,##0;"($"#,##0\);\-</c:formatCode>
                <c:ptCount val="5"/>
                <c:pt idx="0">
                  <c:v>5000</c:v>
                </c:pt>
                <c:pt idx="1">
                  <c:v>15000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val>
        </c:ser>
        <c:gapWidth val="150"/>
        <c:overlap val="100"/>
        <c:axId val="97638049"/>
        <c:axId val="18277215"/>
      </c:barChart>
      <c:catAx>
        <c:axId val="97638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7215"/>
        <c:crosses val="autoZero"/>
        <c:auto val="1"/>
        <c:lblAlgn val="ctr"/>
        <c:lblOffset val="100"/>
        <c:noMultiLvlLbl val="0"/>
      </c:catAx>
      <c:valAx>
        <c:axId val="18277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38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income and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"Operating income"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Projection!$C$84:$G$84</c:f>
              <c:numCache>
                <c:formatCode>\$#,##0;"($"#,##0\);\-</c:formatCode>
                <c:ptCount val="5"/>
                <c:pt idx="0">
                  <c:v>-703739.185</c:v>
                </c:pt>
                <c:pt idx="1">
                  <c:v>-251230.72</c:v>
                </c:pt>
                <c:pt idx="2">
                  <c:v>116570.21</c:v>
                </c:pt>
                <c:pt idx="3">
                  <c:v>512426.715</c:v>
                </c:pt>
                <c:pt idx="4">
                  <c:v>843657.325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"Cash at year end"</c:f>
              <c:strCache>
                <c:ptCount val="1"/>
                <c:pt idx="0">
                  <c:v>Cash at year end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Projection!$C$3:$G$3</c:f>
              <c:multiLvlStrCache>
                <c:ptCount val="1"/>
                <c:lvl>
                  <c:pt idx="0">
                    <c:v>2031</c:v>
                  </c:pt>
                </c:lvl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</c:multiLvlStrCache>
            </c:multiLvlStrRef>
          </c:cat>
          <c:val>
            <c:numRef>
              <c:f>Projection!$C$86:$G$86</c:f>
              <c:numCache>
                <c:formatCode>\$#,##0;"($"#,##0\);\-</c:formatCode>
                <c:ptCount val="5"/>
                <c:pt idx="0">
                  <c:v>-103739.185</c:v>
                </c:pt>
                <c:pt idx="1">
                  <c:v>-354969.905</c:v>
                </c:pt>
                <c:pt idx="2">
                  <c:v>-238399.695</c:v>
                </c:pt>
                <c:pt idx="3">
                  <c:v>274027.020000001</c:v>
                </c:pt>
                <c:pt idx="4">
                  <c:v>1117684.345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166250"/>
        <c:axId val="14108654"/>
      </c:lineChart>
      <c:catAx>
        <c:axId val="26166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08654"/>
        <c:crosses val="autoZero"/>
        <c:auto val="1"/>
        <c:lblAlgn val="ctr"/>
        <c:lblOffset val="100"/>
        <c:noMultiLvlLbl val="0"/>
      </c:catAx>
      <c:valAx>
        <c:axId val="14108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66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17</xdr:col>
      <xdr:colOff>256320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94222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160920</xdr:rowOff>
    </xdr:from>
    <xdr:to>
      <xdr:col>17</xdr:col>
      <xdr:colOff>256320</xdr:colOff>
      <xdr:row>35</xdr:row>
      <xdr:rowOff>182880</xdr:rowOff>
    </xdr:to>
    <xdr:graphicFrame>
      <xdr:nvGraphicFramePr>
        <xdr:cNvPr id="1" name="Chart 2"/>
        <xdr:cNvGraphicFramePr/>
      </xdr:nvGraphicFramePr>
      <xdr:xfrm>
        <a:off x="942228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26.85" hidden="false" customHeight="false" outlineLevel="0" collapsed="false">
      <c r="A3" s="4" t="s">
        <v>1</v>
      </c>
      <c r="B3" s="5" t="s">
        <v>2</v>
      </c>
    </row>
    <row r="4" customFormat="false" ht="26.8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3"/>
      <c r="B5" s="2"/>
    </row>
    <row r="6" customFormat="false" ht="15" hidden="false" customHeight="false" outlineLevel="0" collapsed="false">
      <c r="A6" s="3" t="s">
        <v>5</v>
      </c>
      <c r="B6" s="2"/>
    </row>
    <row r="7" customFormat="false" ht="15" hidden="false" customHeight="false" outlineLevel="0" collapsed="false">
      <c r="A7" s="6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5" t="s">
        <v>9</v>
      </c>
    </row>
    <row r="9" customFormat="false" ht="15" hidden="false" customHeight="false" outlineLevel="0" collapsed="false">
      <c r="A9" s="7" t="s">
        <v>10</v>
      </c>
      <c r="B9" s="5" t="s">
        <v>11</v>
      </c>
    </row>
    <row r="10" customFormat="false" ht="15" hidden="false" customHeight="false" outlineLevel="0" collapsed="false">
      <c r="A10" s="8" t="s">
        <v>12</v>
      </c>
      <c r="B10" s="5" t="s">
        <v>13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3" t="s">
        <v>14</v>
      </c>
      <c r="B12" s="2"/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26.85" hidden="false" customHeight="false" outlineLevel="0" collapsed="false">
      <c r="A15" s="4" t="s">
        <v>19</v>
      </c>
      <c r="B15" s="5" t="s">
        <v>20</v>
      </c>
    </row>
    <row r="16" customFormat="false" ht="15" hidden="false" customHeight="false" outlineLevel="0" collapsed="false">
      <c r="A16" s="4" t="s">
        <v>21</v>
      </c>
      <c r="B16" s="5" t="s">
        <v>22</v>
      </c>
    </row>
    <row r="17" customFormat="false" ht="15" hidden="false" customHeight="false" outlineLevel="0" collapsed="false">
      <c r="A17" s="4" t="s">
        <v>23</v>
      </c>
      <c r="B17" s="5" t="s">
        <v>24</v>
      </c>
    </row>
    <row r="18" customFormat="false" ht="15" hidden="false" customHeight="false" outlineLevel="0" collapsed="false">
      <c r="A18" s="3"/>
      <c r="B18" s="2"/>
    </row>
    <row r="19" customFormat="false" ht="15" hidden="false" customHeight="false" outlineLevel="0" collapsed="false">
      <c r="A19" s="3" t="s">
        <v>25</v>
      </c>
      <c r="B19" s="2"/>
    </row>
    <row r="20" customFormat="false" ht="39.55" hidden="false" customHeight="false" outlineLevel="0" collapsed="false">
      <c r="A20" s="4" t="s">
        <v>26</v>
      </c>
      <c r="B20" s="5" t="s">
        <v>27</v>
      </c>
    </row>
    <row r="21" customFormat="false" ht="26.85" hidden="false" customHeight="false" outlineLevel="0" collapsed="false">
      <c r="A21" s="4" t="s">
        <v>28</v>
      </c>
      <c r="B21" s="5" t="s">
        <v>29</v>
      </c>
    </row>
    <row r="22" customFormat="false" ht="26.85" hidden="false" customHeight="false" outlineLevel="0" collapsed="false">
      <c r="A22" s="4" t="s">
        <v>30</v>
      </c>
      <c r="B22" s="5" t="s">
        <v>31</v>
      </c>
    </row>
    <row r="23" customFormat="false" ht="26.85" hidden="false" customHeight="false" outlineLevel="0" collapsed="false">
      <c r="A23" s="4" t="s">
        <v>21</v>
      </c>
      <c r="B23" s="5" t="s">
        <v>32</v>
      </c>
    </row>
    <row r="24" customFormat="false" ht="26.85" hidden="false" customHeight="false" outlineLevel="0" collapsed="false">
      <c r="A24" s="4" t="s">
        <v>33</v>
      </c>
      <c r="B24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9" t="s">
        <v>35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0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</row>
    <row r="4" customFormat="false" ht="15" hidden="false" customHeight="false" outlineLevel="0" collapsed="false">
      <c r="A4" s="12" t="s">
        <v>44</v>
      </c>
      <c r="B4" s="13"/>
      <c r="C4" s="13"/>
      <c r="D4" s="13"/>
      <c r="E4" s="13"/>
      <c r="F4" s="13"/>
      <c r="G4" s="13"/>
      <c r="H4" s="13"/>
    </row>
    <row r="5" customFormat="false" ht="15" hidden="false" customHeight="false" outlineLevel="0" collapsed="false">
      <c r="A5" s="14" t="s">
        <v>45</v>
      </c>
      <c r="B5" s="2"/>
      <c r="C5" s="15" t="n">
        <v>6000</v>
      </c>
      <c r="D5" s="15" t="n">
        <v>15000</v>
      </c>
      <c r="E5" s="15" t="n">
        <v>30000</v>
      </c>
      <c r="F5" s="15" t="n">
        <v>45000</v>
      </c>
      <c r="G5" s="15" t="n">
        <v>60000</v>
      </c>
      <c r="H5" s="16" t="s">
        <v>46</v>
      </c>
    </row>
    <row r="6" customFormat="false" ht="15" hidden="false" customHeight="false" outlineLevel="0" collapsed="false">
      <c r="A6" s="14" t="s">
        <v>47</v>
      </c>
      <c r="B6" s="2"/>
      <c r="C6" s="15" t="n">
        <v>1000</v>
      </c>
      <c r="D6" s="15" t="n">
        <v>4000</v>
      </c>
      <c r="E6" s="15" t="n">
        <v>8000</v>
      </c>
      <c r="F6" s="15" t="n">
        <v>12000</v>
      </c>
      <c r="G6" s="15" t="n">
        <v>15000</v>
      </c>
      <c r="H6" s="16" t="s">
        <v>48</v>
      </c>
    </row>
    <row r="7" customFormat="false" ht="15" hidden="false" customHeight="false" outlineLevel="0" collapsed="false">
      <c r="A7" s="14" t="s">
        <v>49</v>
      </c>
      <c r="B7" s="2"/>
      <c r="C7" s="15" t="n">
        <v>1500</v>
      </c>
      <c r="D7" s="15" t="n">
        <v>3000</v>
      </c>
      <c r="E7" s="15" t="n">
        <v>4500</v>
      </c>
      <c r="F7" s="15" t="n">
        <v>5500</v>
      </c>
      <c r="G7" s="15" t="n">
        <v>6500</v>
      </c>
      <c r="H7" s="16" t="s">
        <v>50</v>
      </c>
    </row>
    <row r="8" customFormat="false" ht="15" hidden="false" customHeight="false" outlineLevel="0" collapsed="false">
      <c r="A8" s="14" t="s">
        <v>51</v>
      </c>
      <c r="B8" s="2"/>
      <c r="C8" s="15" t="n">
        <v>0</v>
      </c>
      <c r="D8" s="15" t="n">
        <v>1500</v>
      </c>
      <c r="E8" s="15" t="n">
        <v>4000</v>
      </c>
      <c r="F8" s="15" t="n">
        <v>6000</v>
      </c>
      <c r="G8" s="15" t="n">
        <v>8000</v>
      </c>
      <c r="H8" s="16" t="s">
        <v>52</v>
      </c>
    </row>
    <row r="9" customFormat="false" ht="15" hidden="false" customHeight="false" outlineLevel="0" collapsed="false">
      <c r="A9" s="14" t="s">
        <v>53</v>
      </c>
      <c r="B9" s="17" t="n">
        <v>0.2</v>
      </c>
      <c r="C9" s="2"/>
      <c r="D9" s="2"/>
      <c r="E9" s="2"/>
      <c r="F9" s="2"/>
      <c r="G9" s="2"/>
      <c r="H9" s="16" t="s">
        <v>54</v>
      </c>
    </row>
    <row r="10" customFormat="false" ht="22.35" hidden="false" customHeight="false" outlineLevel="0" collapsed="false">
      <c r="A10" s="14" t="s">
        <v>55</v>
      </c>
      <c r="B10" s="17" t="n">
        <v>0.15</v>
      </c>
      <c r="C10" s="2"/>
      <c r="D10" s="2"/>
      <c r="E10" s="2"/>
      <c r="F10" s="2"/>
      <c r="G10" s="2"/>
      <c r="H10" s="16" t="s">
        <v>56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12" t="s">
        <v>57</v>
      </c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4" t="s">
        <v>58</v>
      </c>
      <c r="B13" s="2"/>
      <c r="C13" s="18" t="n">
        <v>1</v>
      </c>
      <c r="D13" s="18" t="n">
        <v>0.95</v>
      </c>
      <c r="E13" s="18" t="n">
        <v>0.85</v>
      </c>
      <c r="F13" s="18" t="n">
        <v>0.8</v>
      </c>
      <c r="G13" s="18" t="n">
        <v>0.75</v>
      </c>
      <c r="H13" s="16" t="s">
        <v>59</v>
      </c>
    </row>
    <row r="14" customFormat="false" ht="15" hidden="false" customHeight="false" outlineLevel="0" collapsed="false">
      <c r="A14" s="14" t="s">
        <v>60</v>
      </c>
      <c r="B14" s="17" t="n">
        <v>0.3</v>
      </c>
      <c r="C14" s="2"/>
      <c r="D14" s="2"/>
      <c r="E14" s="2"/>
      <c r="F14" s="2"/>
      <c r="G14" s="2"/>
      <c r="H14" s="16" t="s">
        <v>61</v>
      </c>
    </row>
    <row r="15" customFormat="false" ht="15" hidden="false" customHeight="false" outlineLevel="0" collapsed="false">
      <c r="A15" s="14" t="s">
        <v>62</v>
      </c>
      <c r="B15" s="17" t="n">
        <v>0.03</v>
      </c>
      <c r="C15" s="2"/>
      <c r="D15" s="2"/>
      <c r="E15" s="2"/>
      <c r="F15" s="2"/>
      <c r="G15" s="2"/>
      <c r="H15" s="16" t="s">
        <v>63</v>
      </c>
    </row>
    <row r="16" customFormat="false" ht="15" hidden="false" customHeight="false" outlineLevel="0" collapsed="false">
      <c r="A16" s="14" t="s">
        <v>64</v>
      </c>
      <c r="B16" s="17" t="n">
        <v>0.04</v>
      </c>
      <c r="C16" s="2"/>
      <c r="D16" s="2"/>
      <c r="E16" s="2"/>
      <c r="F16" s="2"/>
      <c r="G16" s="2"/>
      <c r="H16" s="16" t="s">
        <v>65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12" t="s">
        <v>66</v>
      </c>
      <c r="B18" s="13"/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14" t="s">
        <v>67</v>
      </c>
      <c r="B19" s="17" t="n">
        <v>0.85</v>
      </c>
      <c r="C19" s="2"/>
      <c r="D19" s="2"/>
      <c r="E19" s="2"/>
      <c r="F19" s="2"/>
      <c r="G19" s="2"/>
      <c r="H19" s="16" t="s">
        <v>68</v>
      </c>
    </row>
    <row r="20" customFormat="false" ht="22.35" hidden="false" customHeight="false" outlineLevel="0" collapsed="false">
      <c r="A20" s="14" t="s">
        <v>69</v>
      </c>
      <c r="B20" s="2"/>
      <c r="C20" s="19" t="n">
        <v>1</v>
      </c>
      <c r="D20" s="19" t="n">
        <v>1.5</v>
      </c>
      <c r="E20" s="19" t="n">
        <v>2</v>
      </c>
      <c r="F20" s="19" t="n">
        <v>2.5</v>
      </c>
      <c r="G20" s="19" t="n">
        <v>3</v>
      </c>
      <c r="H20" s="16" t="s">
        <v>70</v>
      </c>
    </row>
    <row r="21" customFormat="false" ht="15" hidden="false" customHeight="false" outlineLevel="0" collapsed="false">
      <c r="A21" s="14" t="s">
        <v>71</v>
      </c>
      <c r="B21" s="17" t="n">
        <v>0.02</v>
      </c>
      <c r="C21" s="2"/>
      <c r="D21" s="2"/>
      <c r="E21" s="2"/>
      <c r="F21" s="2"/>
      <c r="G21" s="2"/>
      <c r="H21" s="16" t="s">
        <v>72</v>
      </c>
    </row>
    <row r="22" customFormat="false" ht="15" hidden="false" customHeight="false" outlineLevel="0" collapsed="false">
      <c r="A22" s="14" t="s">
        <v>73</v>
      </c>
      <c r="B22" s="20" t="n">
        <v>15</v>
      </c>
      <c r="C22" s="2"/>
      <c r="D22" s="2"/>
      <c r="E22" s="2"/>
      <c r="F22" s="2"/>
      <c r="G22" s="2"/>
      <c r="H22" s="16" t="s">
        <v>74</v>
      </c>
    </row>
    <row r="23" customFormat="false" ht="15" hidden="false" customHeight="false" outlineLevel="0" collapsed="false">
      <c r="A23" s="14" t="s">
        <v>75</v>
      </c>
      <c r="B23" s="2"/>
      <c r="C23" s="21" t="n">
        <v>0</v>
      </c>
      <c r="D23" s="21" t="n">
        <v>1</v>
      </c>
      <c r="E23" s="21" t="n">
        <v>3</v>
      </c>
      <c r="F23" s="21" t="n">
        <v>5</v>
      </c>
      <c r="G23" s="21" t="n">
        <v>8</v>
      </c>
      <c r="H23" s="16" t="s">
        <v>76</v>
      </c>
    </row>
    <row r="24" customFormat="false" ht="15" hidden="false" customHeight="false" outlineLevel="0" collapsed="false">
      <c r="A24" s="14" t="s">
        <v>77</v>
      </c>
      <c r="B24" s="20" t="n">
        <v>20000</v>
      </c>
      <c r="C24" s="2"/>
      <c r="D24" s="2"/>
      <c r="E24" s="2"/>
      <c r="F24" s="2"/>
      <c r="G24" s="2"/>
      <c r="H24" s="16" t="s">
        <v>78</v>
      </c>
    </row>
    <row r="25" customFormat="false" ht="15" hidden="false" customHeight="false" outlineLevel="0" collapsed="false">
      <c r="A25" s="14" t="s">
        <v>79</v>
      </c>
      <c r="B25" s="2"/>
      <c r="C25" s="20" t="n">
        <v>5000</v>
      </c>
      <c r="D25" s="20" t="n">
        <v>15000</v>
      </c>
      <c r="E25" s="20" t="n">
        <v>30000</v>
      </c>
      <c r="F25" s="20" t="n">
        <v>40000</v>
      </c>
      <c r="G25" s="20" t="n">
        <v>50000</v>
      </c>
      <c r="H25" s="16" t="s">
        <v>80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2" t="s">
        <v>81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14" t="s">
        <v>82</v>
      </c>
      <c r="B28" s="20" t="n">
        <v>160000</v>
      </c>
      <c r="C28" s="2"/>
      <c r="D28" s="2"/>
      <c r="E28" s="2"/>
      <c r="F28" s="2"/>
      <c r="G28" s="2"/>
      <c r="H28" s="16" t="s">
        <v>83</v>
      </c>
    </row>
    <row r="29" customFormat="false" ht="22.35" hidden="false" customHeight="false" outlineLevel="0" collapsed="false">
      <c r="A29" s="14" t="s">
        <v>84</v>
      </c>
      <c r="B29" s="2"/>
      <c r="C29" s="22" t="n">
        <v>2</v>
      </c>
      <c r="D29" s="22" t="n">
        <v>2</v>
      </c>
      <c r="E29" s="22" t="n">
        <v>3</v>
      </c>
      <c r="F29" s="22" t="n">
        <v>3</v>
      </c>
      <c r="G29" s="22" t="n">
        <v>4</v>
      </c>
      <c r="H29" s="16" t="s">
        <v>85</v>
      </c>
    </row>
    <row r="30" customFormat="false" ht="15" hidden="false" customHeight="false" outlineLevel="0" collapsed="false">
      <c r="A30" s="14" t="s">
        <v>86</v>
      </c>
      <c r="B30" s="2"/>
      <c r="C30" s="22" t="n">
        <v>1</v>
      </c>
      <c r="D30" s="22" t="n">
        <v>1</v>
      </c>
      <c r="E30" s="22" t="n">
        <v>1</v>
      </c>
      <c r="F30" s="22" t="n">
        <v>2</v>
      </c>
      <c r="G30" s="22" t="n">
        <v>2</v>
      </c>
      <c r="H30" s="16"/>
    </row>
    <row r="31" customFormat="false" ht="15" hidden="false" customHeight="false" outlineLevel="0" collapsed="false">
      <c r="A31" s="14" t="s">
        <v>87</v>
      </c>
      <c r="B31" s="2"/>
      <c r="C31" s="20" t="n">
        <v>100000</v>
      </c>
      <c r="D31" s="20" t="n">
        <v>75000</v>
      </c>
      <c r="E31" s="20" t="n">
        <v>75000</v>
      </c>
      <c r="F31" s="20" t="n">
        <v>100000</v>
      </c>
      <c r="G31" s="20" t="n">
        <v>100000</v>
      </c>
      <c r="H31" s="16" t="s">
        <v>88</v>
      </c>
    </row>
    <row r="32" customFormat="false" ht="15" hidden="false" customHeight="false" outlineLevel="0" collapsed="false">
      <c r="A32" s="14" t="s">
        <v>89</v>
      </c>
      <c r="B32" s="17" t="n">
        <v>0.06</v>
      </c>
      <c r="C32" s="2"/>
      <c r="D32" s="2"/>
      <c r="E32" s="2"/>
      <c r="F32" s="2"/>
      <c r="G32" s="2"/>
      <c r="H32" s="16"/>
    </row>
    <row r="33" customFormat="false" ht="15" hidden="false" customHeight="false" outlineLevel="0" collapsed="false">
      <c r="A33" s="14" t="s">
        <v>90</v>
      </c>
      <c r="B33" s="2"/>
      <c r="C33" s="20" t="n">
        <v>150000</v>
      </c>
      <c r="D33" s="20" t="n">
        <v>200000</v>
      </c>
      <c r="E33" s="20" t="n">
        <v>250000</v>
      </c>
      <c r="F33" s="20" t="n">
        <v>300000</v>
      </c>
      <c r="G33" s="20" t="n">
        <v>350000</v>
      </c>
      <c r="H33" s="16" t="s">
        <v>91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12" t="s">
        <v>92</v>
      </c>
      <c r="B35" s="13"/>
      <c r="C35" s="13"/>
      <c r="D35" s="13"/>
      <c r="E35" s="13"/>
      <c r="F35" s="13"/>
      <c r="G35" s="13"/>
      <c r="H35" s="13"/>
    </row>
    <row r="36" customFormat="false" ht="22.35" hidden="false" customHeight="false" outlineLevel="0" collapsed="false">
      <c r="A36" s="14" t="s">
        <v>93</v>
      </c>
      <c r="B36" s="20" t="n">
        <v>5000</v>
      </c>
      <c r="C36" s="2"/>
      <c r="D36" s="2"/>
      <c r="E36" s="2"/>
      <c r="F36" s="2"/>
      <c r="G36" s="2"/>
      <c r="H36" s="16" t="s">
        <v>94</v>
      </c>
    </row>
    <row r="37" customFormat="false" ht="15" hidden="false" customHeight="false" outlineLevel="0" collapsed="false">
      <c r="A37" s="14" t="s">
        <v>95</v>
      </c>
      <c r="B37" s="19" t="n">
        <v>1</v>
      </c>
      <c r="C37" s="2"/>
      <c r="D37" s="2"/>
      <c r="E37" s="2"/>
      <c r="F37" s="2"/>
      <c r="G37" s="2"/>
      <c r="H37" s="16" t="s">
        <v>96</v>
      </c>
    </row>
    <row r="38" customFormat="false" ht="15" hidden="false" customHeight="false" outlineLevel="0" collapsed="false">
      <c r="A38" s="14" t="s">
        <v>97</v>
      </c>
      <c r="B38" s="20" t="n">
        <v>10000</v>
      </c>
      <c r="C38" s="2"/>
      <c r="D38" s="2"/>
      <c r="E38" s="2"/>
      <c r="F38" s="2"/>
      <c r="G38" s="2"/>
      <c r="H38" s="16" t="s">
        <v>98</v>
      </c>
    </row>
    <row r="39" customFormat="false" ht="22.35" hidden="false" customHeight="false" outlineLevel="0" collapsed="false">
      <c r="A39" s="14" t="s">
        <v>99</v>
      </c>
      <c r="B39" s="20" t="n">
        <v>12000</v>
      </c>
      <c r="C39" s="2"/>
      <c r="D39" s="2"/>
      <c r="E39" s="2"/>
      <c r="F39" s="2"/>
      <c r="G39" s="2"/>
      <c r="H39" s="16" t="s">
        <v>100</v>
      </c>
    </row>
    <row r="40" customFormat="false" ht="15" hidden="false" customHeight="false" outlineLevel="0" collapsed="false">
      <c r="A40" s="14" t="s">
        <v>101</v>
      </c>
      <c r="B40" s="20" t="n">
        <v>20000</v>
      </c>
      <c r="C40" s="2"/>
      <c r="D40" s="2"/>
      <c r="E40" s="2"/>
      <c r="F40" s="2"/>
      <c r="G40" s="2"/>
      <c r="H40" s="16" t="s">
        <v>102</v>
      </c>
    </row>
    <row r="41" customFormat="false" ht="15" hidden="false" customHeight="false" outlineLevel="0" collapsed="false">
      <c r="A41" s="14" t="s">
        <v>103</v>
      </c>
      <c r="B41" s="2"/>
      <c r="C41" s="21" t="n">
        <v>2</v>
      </c>
      <c r="D41" s="21" t="n">
        <v>1</v>
      </c>
      <c r="E41" s="21" t="n">
        <v>1</v>
      </c>
      <c r="F41" s="21" t="n">
        <v>0</v>
      </c>
      <c r="G41" s="21" t="n">
        <v>1</v>
      </c>
      <c r="H41" s="16" t="s">
        <v>104</v>
      </c>
    </row>
    <row r="42" customFormat="false" ht="15" hidden="false" customHeight="false" outlineLevel="0" collapsed="false">
      <c r="A42" s="14" t="s">
        <v>105</v>
      </c>
      <c r="B42" s="2"/>
      <c r="C42" s="21" t="n">
        <v>2</v>
      </c>
      <c r="D42" s="21" t="n">
        <v>1</v>
      </c>
      <c r="E42" s="21" t="n">
        <v>0</v>
      </c>
      <c r="F42" s="21" t="n">
        <v>0</v>
      </c>
      <c r="G42" s="21" t="n">
        <v>1</v>
      </c>
      <c r="H42" s="16" t="s">
        <v>106</v>
      </c>
    </row>
    <row r="43" customFormat="false" ht="15" hidden="false" customHeight="false" outlineLevel="0" collapsed="false">
      <c r="A43" s="14" t="s">
        <v>107</v>
      </c>
      <c r="B43" s="2"/>
      <c r="C43" s="20" t="n">
        <v>75000</v>
      </c>
      <c r="D43" s="20" t="n">
        <v>40000</v>
      </c>
      <c r="E43" s="20" t="n">
        <v>30000</v>
      </c>
      <c r="F43" s="20" t="n">
        <v>0</v>
      </c>
      <c r="G43" s="20" t="n">
        <v>40000</v>
      </c>
      <c r="H43" s="16" t="s">
        <v>108</v>
      </c>
    </row>
    <row r="44" customFormat="false" ht="15" hidden="false" customHeight="false" outlineLevel="0" collapsed="false">
      <c r="A44" s="14" t="s">
        <v>109</v>
      </c>
      <c r="B44" s="2"/>
      <c r="C44" s="20" t="n">
        <v>40000</v>
      </c>
      <c r="D44" s="20" t="n">
        <v>20000</v>
      </c>
      <c r="E44" s="20" t="n">
        <v>20000</v>
      </c>
      <c r="F44" s="20" t="n">
        <v>20000</v>
      </c>
      <c r="G44" s="20" t="n">
        <v>20000</v>
      </c>
      <c r="H44" s="16" t="s">
        <v>110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A46" s="12" t="s">
        <v>111</v>
      </c>
      <c r="B46" s="13"/>
      <c r="C46" s="13"/>
      <c r="D46" s="13"/>
      <c r="E46" s="13"/>
      <c r="F46" s="13"/>
      <c r="G46" s="13"/>
      <c r="H46" s="13"/>
    </row>
    <row r="47" customFormat="false" ht="22.35" hidden="false" customHeight="false" outlineLevel="0" collapsed="false">
      <c r="A47" s="14" t="s">
        <v>112</v>
      </c>
      <c r="B47" s="23" t="n">
        <v>10</v>
      </c>
      <c r="C47" s="2"/>
      <c r="D47" s="2"/>
      <c r="E47" s="2"/>
      <c r="F47" s="2"/>
      <c r="G47" s="2"/>
      <c r="H47" s="16" t="s">
        <v>113</v>
      </c>
    </row>
    <row r="48" customFormat="false" ht="15" hidden="false" customHeight="false" outlineLevel="0" collapsed="false">
      <c r="A48" s="14" t="s">
        <v>114</v>
      </c>
      <c r="B48" s="23" t="n">
        <v>600000</v>
      </c>
      <c r="C48" s="2"/>
      <c r="D48" s="2"/>
      <c r="E48" s="2"/>
      <c r="F48" s="2"/>
      <c r="G48" s="2"/>
      <c r="H48" s="1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9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5" hidden="false" customHeight="true" outlineLevel="0" collapsed="false">
      <c r="A4" s="24" t="s">
        <v>118</v>
      </c>
      <c r="B4" s="24" t="s">
        <v>119</v>
      </c>
      <c r="C4" s="24" t="s">
        <v>120</v>
      </c>
      <c r="D4" s="24" t="s">
        <v>30</v>
      </c>
      <c r="E4" s="24" t="s">
        <v>121</v>
      </c>
      <c r="F4" s="24" t="s">
        <v>122</v>
      </c>
      <c r="G4" s="24" t="s">
        <v>123</v>
      </c>
      <c r="H4" s="24" t="s">
        <v>124</v>
      </c>
      <c r="I4" s="24" t="s">
        <v>125</v>
      </c>
      <c r="J4" s="24" t="s">
        <v>126</v>
      </c>
      <c r="K4" s="24" t="s">
        <v>127</v>
      </c>
      <c r="L4" s="24" t="s">
        <v>128</v>
      </c>
    </row>
    <row r="5" customFormat="false" ht="30" hidden="false" customHeight="true" outlineLevel="0" collapsed="false">
      <c r="A5" s="14" t="s">
        <v>129</v>
      </c>
      <c r="B5" s="25" t="n">
        <v>89</v>
      </c>
      <c r="C5" s="19" t="n">
        <v>42</v>
      </c>
      <c r="D5" s="19" t="n">
        <v>2</v>
      </c>
      <c r="E5" s="19" t="n">
        <v>7</v>
      </c>
      <c r="F5" s="19" t="n">
        <v>1.5</v>
      </c>
      <c r="G5" s="26" t="n">
        <v>1</v>
      </c>
      <c r="H5" s="27" t="n">
        <f aca="false">SUM(C5:F5)</f>
        <v>52.5</v>
      </c>
      <c r="I5" s="28" t="n">
        <f aca="false">B5*(1-Assumptions!$B$15-Assumptions!$B$16)-H5</f>
        <v>30.27</v>
      </c>
      <c r="J5" s="29" t="n">
        <f aca="false">IF(B5=0,0,I5/B5)</f>
        <v>0.340112359550562</v>
      </c>
      <c r="K5" s="28" t="n">
        <f aca="false">IF(G5=1,B5*(1-Assumptions!$B$14)*(1-Assumptions!$B$15-Assumptions!$B$16)-H5,"direct only")</f>
        <v>5.43899999999999</v>
      </c>
      <c r="L5" s="30" t="s">
        <v>130</v>
      </c>
    </row>
    <row r="6" customFormat="false" ht="30" hidden="false" customHeight="true" outlineLevel="0" collapsed="false">
      <c r="A6" s="14" t="s">
        <v>131</v>
      </c>
      <c r="B6" s="25" t="n">
        <v>119</v>
      </c>
      <c r="C6" s="19" t="n">
        <v>62</v>
      </c>
      <c r="D6" s="19" t="n">
        <v>2.25</v>
      </c>
      <c r="E6" s="19" t="n">
        <v>8</v>
      </c>
      <c r="F6" s="19" t="n">
        <v>2</v>
      </c>
      <c r="G6" s="26" t="n">
        <v>1</v>
      </c>
      <c r="H6" s="27" t="n">
        <f aca="false">SUM(C6:F6)</f>
        <v>74.25</v>
      </c>
      <c r="I6" s="28" t="n">
        <f aca="false">B6*(1-Assumptions!$B$15-Assumptions!$B$16)-H6</f>
        <v>36.42</v>
      </c>
      <c r="J6" s="29" t="n">
        <f aca="false">IF(B6=0,0,I6/B6)</f>
        <v>0.306050420168067</v>
      </c>
      <c r="K6" s="28" t="n">
        <f aca="false">IF(G6=1,B6*(1-Assumptions!$B$14)*(1-Assumptions!$B$15-Assumptions!$B$16)-H6,"direct only")</f>
        <v>3.21899999999999</v>
      </c>
      <c r="L6" s="30" t="s">
        <v>132</v>
      </c>
    </row>
    <row r="7" customFormat="false" ht="30" hidden="false" customHeight="true" outlineLevel="0" collapsed="false">
      <c r="A7" s="14" t="s">
        <v>133</v>
      </c>
      <c r="B7" s="25" t="n">
        <v>29</v>
      </c>
      <c r="C7" s="19" t="n">
        <v>9</v>
      </c>
      <c r="D7" s="19" t="n">
        <v>0</v>
      </c>
      <c r="E7" s="19" t="n">
        <v>5</v>
      </c>
      <c r="F7" s="19" t="n">
        <v>1</v>
      </c>
      <c r="G7" s="26" t="n">
        <v>0</v>
      </c>
      <c r="H7" s="27" t="n">
        <f aca="false">SUM(C7:F7)</f>
        <v>15</v>
      </c>
      <c r="I7" s="28" t="n">
        <f aca="false">B7*(1-Assumptions!$B$15-Assumptions!$B$16)-H7</f>
        <v>11.97</v>
      </c>
      <c r="J7" s="29" t="n">
        <f aca="false">IF(B7=0,0,I7/B7)</f>
        <v>0.412758620689655</v>
      </c>
      <c r="K7" s="28" t="str">
        <f aca="false">IF(G7=1,B7*(1-Assumptions!$B$14)*(1-Assumptions!$B$15-Assumptions!$B$16)-H7,"direct only")</f>
        <v>direct only</v>
      </c>
      <c r="L7" s="30" t="s">
        <v>134</v>
      </c>
    </row>
    <row r="8" customFormat="false" ht="30" hidden="false" customHeight="true" outlineLevel="0" collapsed="false">
      <c r="A8" s="14" t="s">
        <v>135</v>
      </c>
      <c r="B8" s="25" t="n">
        <v>49</v>
      </c>
      <c r="C8" s="19" t="n">
        <v>22</v>
      </c>
      <c r="D8" s="19" t="n">
        <v>1</v>
      </c>
      <c r="E8" s="19" t="n">
        <v>6</v>
      </c>
      <c r="F8" s="19" t="n">
        <v>2</v>
      </c>
      <c r="G8" s="26" t="n">
        <v>1</v>
      </c>
      <c r="H8" s="27" t="n">
        <f aca="false">SUM(C8:F8)</f>
        <v>31</v>
      </c>
      <c r="I8" s="28" t="n">
        <f aca="false">B8*(1-Assumptions!$B$15-Assumptions!$B$16)-H8</f>
        <v>14.57</v>
      </c>
      <c r="J8" s="29" t="n">
        <f aca="false">IF(B8=0,0,I8/B8)</f>
        <v>0.29734693877551</v>
      </c>
      <c r="K8" s="28" t="n">
        <f aca="false">IF(G8=1,B8*(1-Assumptions!$B$14)*(1-Assumptions!$B$15-Assumptions!$B$16)-H8,"direct only")</f>
        <v>0.898999999999994</v>
      </c>
      <c r="L8" s="30" t="s">
        <v>136</v>
      </c>
    </row>
    <row r="9" customFormat="false" ht="30" hidden="false" customHeight="true" outlineLevel="0" collapsed="false">
      <c r="A9" s="14" t="s">
        <v>137</v>
      </c>
      <c r="B9" s="25" t="n">
        <v>19</v>
      </c>
      <c r="C9" s="19" t="n">
        <v>6</v>
      </c>
      <c r="D9" s="19" t="n">
        <v>0</v>
      </c>
      <c r="E9" s="19" t="n">
        <v>3</v>
      </c>
      <c r="F9" s="19" t="n">
        <v>0.5</v>
      </c>
      <c r="G9" s="26" t="n">
        <v>0</v>
      </c>
      <c r="H9" s="27" t="n">
        <f aca="false">SUM(C9:F9)</f>
        <v>9.5</v>
      </c>
      <c r="I9" s="28" t="n">
        <f aca="false">B9*(1-Assumptions!$B$15-Assumptions!$B$16)-H9</f>
        <v>8.17</v>
      </c>
      <c r="J9" s="29" t="n">
        <f aca="false">IF(B9=0,0,I9/B9)</f>
        <v>0.43</v>
      </c>
      <c r="K9" s="28" t="str">
        <f aca="false">IF(G9=1,B9*(1-Assumptions!$B$14)*(1-Assumptions!$B$15-Assumptions!$B$16)-H9,"direct only")</f>
        <v>direct only</v>
      </c>
      <c r="L9" s="30" t="s">
        <v>138</v>
      </c>
    </row>
    <row r="10" customFormat="false" ht="30" hidden="false" customHeight="true" outlineLevel="0" collapsed="false">
      <c r="A10" s="14" t="s">
        <v>139</v>
      </c>
      <c r="B10" s="25" t="n">
        <v>4.99</v>
      </c>
      <c r="C10" s="19" t="n">
        <v>0</v>
      </c>
      <c r="D10" s="19" t="n">
        <v>1.5</v>
      </c>
      <c r="E10" s="19" t="n">
        <v>0</v>
      </c>
      <c r="F10" s="19" t="n">
        <v>0.1</v>
      </c>
      <c r="G10" s="26" t="n">
        <v>0</v>
      </c>
      <c r="H10" s="27" t="n">
        <f aca="false">SUM(C10:F10)</f>
        <v>1.6</v>
      </c>
      <c r="I10" s="28" t="n">
        <f aca="false">B10*(1-Assumptions!$B$15-Assumptions!$B$16)-H10</f>
        <v>3.0407</v>
      </c>
      <c r="J10" s="29" t="n">
        <f aca="false">IF(B10=0,0,I10/B10)</f>
        <v>0.60935871743487</v>
      </c>
      <c r="K10" s="28" t="str">
        <f aca="false">IF(G10=1,B10*(1-Assumptions!$B$14)*(1-Assumptions!$B$15-Assumptions!$B$16)-H10,"direct only")</f>
        <v>direct only</v>
      </c>
      <c r="L10" s="30" t="s">
        <v>140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9" t="s">
        <v>141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7" min="3" style="0" width="15"/>
  </cols>
  <sheetData>
    <row r="1" customFormat="false" ht="17.35" hidden="false" customHeight="false" outlineLevel="0" collapsed="false">
      <c r="A1" s="1" t="s">
        <v>142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9" t="s">
        <v>143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0" t="s">
        <v>144</v>
      </c>
      <c r="B3" s="11"/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</row>
    <row r="4" customFormat="false" ht="15" hidden="false" customHeight="false" outlineLevel="0" collapsed="false">
      <c r="A4" s="12" t="s">
        <v>145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A5" s="14" t="s">
        <v>45</v>
      </c>
      <c r="B5" s="2"/>
      <c r="C5" s="31" t="n">
        <f aca="false">Assumptions!C$5</f>
        <v>6000</v>
      </c>
      <c r="D5" s="31" t="n">
        <f aca="false">Assumptions!D$5</f>
        <v>15000</v>
      </c>
      <c r="E5" s="31" t="n">
        <f aca="false">Assumptions!E$5</f>
        <v>30000</v>
      </c>
      <c r="F5" s="31" t="n">
        <f aca="false">Assumptions!F$5</f>
        <v>45000</v>
      </c>
      <c r="G5" s="31" t="n">
        <f aca="false">Assumptions!G$5</f>
        <v>60000</v>
      </c>
    </row>
    <row r="6" customFormat="false" ht="15" hidden="false" customHeight="false" outlineLevel="0" collapsed="false">
      <c r="A6" s="14" t="s">
        <v>47</v>
      </c>
      <c r="B6" s="2"/>
      <c r="C6" s="31" t="n">
        <f aca="false">Assumptions!C$6</f>
        <v>1000</v>
      </c>
      <c r="D6" s="31" t="n">
        <f aca="false">Assumptions!D$6</f>
        <v>4000</v>
      </c>
      <c r="E6" s="31" t="n">
        <f aca="false">Assumptions!E$6</f>
        <v>8000</v>
      </c>
      <c r="F6" s="31" t="n">
        <f aca="false">Assumptions!F$6</f>
        <v>12000</v>
      </c>
      <c r="G6" s="31" t="n">
        <f aca="false">Assumptions!G$6</f>
        <v>15000</v>
      </c>
    </row>
    <row r="7" customFormat="false" ht="15" hidden="false" customHeight="false" outlineLevel="0" collapsed="false">
      <c r="A7" s="14" t="s">
        <v>49</v>
      </c>
      <c r="B7" s="2"/>
      <c r="C7" s="31" t="n">
        <f aca="false">Assumptions!C$7</f>
        <v>1500</v>
      </c>
      <c r="D7" s="31" t="n">
        <f aca="false">Assumptions!D$7</f>
        <v>3000</v>
      </c>
      <c r="E7" s="31" t="n">
        <f aca="false">Assumptions!E$7</f>
        <v>4500</v>
      </c>
      <c r="F7" s="31" t="n">
        <f aca="false">Assumptions!F$7</f>
        <v>5500</v>
      </c>
      <c r="G7" s="31" t="n">
        <f aca="false">Assumptions!G$7</f>
        <v>6500</v>
      </c>
    </row>
    <row r="8" customFormat="false" ht="15" hidden="false" customHeight="false" outlineLevel="0" collapsed="false">
      <c r="A8" s="14" t="s">
        <v>146</v>
      </c>
      <c r="B8" s="2"/>
      <c r="C8" s="31" t="n">
        <f aca="false">Assumptions!C$8</f>
        <v>0</v>
      </c>
      <c r="D8" s="31" t="n">
        <f aca="false">Assumptions!D$8</f>
        <v>1500</v>
      </c>
      <c r="E8" s="31" t="n">
        <f aca="false">Assumptions!E$8</f>
        <v>4000</v>
      </c>
      <c r="F8" s="31" t="n">
        <f aca="false">Assumptions!F$8</f>
        <v>6000</v>
      </c>
      <c r="G8" s="31" t="n">
        <f aca="false">Assumptions!G$8</f>
        <v>8000</v>
      </c>
    </row>
    <row r="9" customFormat="false" ht="15" hidden="false" customHeight="false" outlineLevel="0" collapsed="false">
      <c r="A9" s="3" t="s">
        <v>147</v>
      </c>
      <c r="B9" s="2"/>
      <c r="C9" s="32" t="n">
        <f aca="false">C5+C6</f>
        <v>7000</v>
      </c>
      <c r="D9" s="32" t="n">
        <f aca="false">D5+D6</f>
        <v>19000</v>
      </c>
      <c r="E9" s="32" t="n">
        <f aca="false">E5+E6</f>
        <v>38000</v>
      </c>
      <c r="F9" s="32" t="n">
        <f aca="false">F5+F6</f>
        <v>57000</v>
      </c>
      <c r="G9" s="32" t="n">
        <f aca="false">G5+G6</f>
        <v>75000</v>
      </c>
    </row>
    <row r="10" customFormat="false" ht="15" hidden="false" customHeight="false" outlineLevel="0" collapsed="false">
      <c r="A10" s="14" t="s">
        <v>148</v>
      </c>
      <c r="B10" s="2"/>
      <c r="C10" s="31" t="n">
        <f aca="false">C9*Assumptions!$B$9</f>
        <v>1400</v>
      </c>
      <c r="D10" s="31" t="n">
        <f aca="false">D9*Assumptions!$B$9</f>
        <v>3800</v>
      </c>
      <c r="E10" s="31" t="n">
        <f aca="false">E9*Assumptions!$B$9</f>
        <v>7600</v>
      </c>
      <c r="F10" s="31" t="n">
        <f aca="false">F9*Assumptions!$B$9</f>
        <v>11400</v>
      </c>
      <c r="G10" s="31" t="n">
        <f aca="false">G9*Assumptions!$B$9</f>
        <v>15000</v>
      </c>
    </row>
    <row r="11" customFormat="false" ht="15" hidden="false" customHeight="false" outlineLevel="0" collapsed="false">
      <c r="A11" s="14" t="s">
        <v>149</v>
      </c>
      <c r="B11" s="2"/>
      <c r="C11" s="31" t="n">
        <f aca="false">C9*Assumptions!$B$10</f>
        <v>1050</v>
      </c>
      <c r="D11" s="31" t="n">
        <f aca="false">D9*Assumptions!$B$10</f>
        <v>2850</v>
      </c>
      <c r="E11" s="31" t="n">
        <f aca="false">E9*Assumptions!$B$10</f>
        <v>5700</v>
      </c>
      <c r="F11" s="31" t="n">
        <f aca="false">F9*Assumptions!$B$10</f>
        <v>8550</v>
      </c>
      <c r="G11" s="31" t="n">
        <f aca="false">G9*Assumptions!$B$10</f>
        <v>11250</v>
      </c>
    </row>
    <row r="12" customFormat="false" ht="15" hidden="false" customHeight="false" outlineLevel="0" collapsed="false">
      <c r="A12" s="14" t="s">
        <v>150</v>
      </c>
      <c r="B12" s="2"/>
      <c r="C12" s="33" t="n">
        <f aca="false">C9</f>
        <v>7000</v>
      </c>
      <c r="D12" s="33" t="n">
        <f aca="false">C12+D9</f>
        <v>26000</v>
      </c>
      <c r="E12" s="33" t="n">
        <f aca="false">D12+E9</f>
        <v>64000</v>
      </c>
      <c r="F12" s="33" t="n">
        <f aca="false">E12+F9</f>
        <v>121000</v>
      </c>
      <c r="G12" s="33" t="n">
        <f aca="false">F12+G9</f>
        <v>196000</v>
      </c>
    </row>
    <row r="13" customFormat="false" ht="15" hidden="false" customHeight="false" outlineLevel="0" collapsed="false">
      <c r="A13" s="14" t="s">
        <v>151</v>
      </c>
      <c r="B13" s="2"/>
      <c r="C13" s="31" t="n">
        <f aca="false">C12*Assumptions!$B$19</f>
        <v>5950</v>
      </c>
      <c r="D13" s="31" t="n">
        <f aca="false">D12*Assumptions!$B$19</f>
        <v>22100</v>
      </c>
      <c r="E13" s="31" t="n">
        <f aca="false">E12*Assumptions!$B$19</f>
        <v>54400</v>
      </c>
      <c r="F13" s="31" t="n">
        <f aca="false">F12*Assumptions!$B$19</f>
        <v>102850</v>
      </c>
      <c r="G13" s="31" t="n">
        <f aca="false">G12*Assumptions!$B$19</f>
        <v>166600</v>
      </c>
    </row>
    <row r="14" customFormat="false" ht="15" hidden="false" customHeight="false" outlineLevel="0" collapsed="false">
      <c r="A14" s="14" t="s">
        <v>152</v>
      </c>
      <c r="B14" s="2"/>
      <c r="C14" s="33" t="n">
        <f aca="false">C13/2</f>
        <v>2975</v>
      </c>
      <c r="D14" s="33" t="n">
        <f aca="false">(C13+D13)/2</f>
        <v>14025</v>
      </c>
      <c r="E14" s="33" t="n">
        <f aca="false">(D13+E13)/2</f>
        <v>38250</v>
      </c>
      <c r="F14" s="33" t="n">
        <f aca="false">(E13+F13)/2</f>
        <v>78625</v>
      </c>
      <c r="G14" s="33" t="n">
        <f aca="false">(F13+G13)/2</f>
        <v>134725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12" t="s">
        <v>153</v>
      </c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34" t="s">
        <v>129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14" t="s">
        <v>154</v>
      </c>
      <c r="B18" s="2"/>
      <c r="C18" s="35" t="n">
        <f aca="false">C5*Products!$B$5</f>
        <v>534000</v>
      </c>
      <c r="D18" s="35" t="n">
        <f aca="false">D5*Products!$B$5</f>
        <v>1335000</v>
      </c>
      <c r="E18" s="35" t="n">
        <f aca="false">E5*Products!$B$5</f>
        <v>2670000</v>
      </c>
      <c r="F18" s="35" t="n">
        <f aca="false">F5*Products!$B$5</f>
        <v>4005000</v>
      </c>
      <c r="G18" s="35" t="n">
        <f aca="false">G5*Products!$B$5</f>
        <v>5340000</v>
      </c>
    </row>
    <row r="19" customFormat="false" ht="15" hidden="false" customHeight="false" outlineLevel="0" collapsed="false">
      <c r="A19" s="14" t="s">
        <v>155</v>
      </c>
      <c r="B19" s="2"/>
      <c r="C19" s="35" t="n">
        <f aca="false">-C18*Products!$G$5*(1-Assumptions!C$13)*Assumptions!$B$14</f>
        <v>-0</v>
      </c>
      <c r="D19" s="35" t="n">
        <f aca="false">-D18*Products!$G$5*(1-Assumptions!D$13)*Assumptions!$B$14</f>
        <v>-20025</v>
      </c>
      <c r="E19" s="35" t="n">
        <f aca="false">-E18*Products!$G$5*(1-Assumptions!E$13)*Assumptions!$B$14</f>
        <v>-120150</v>
      </c>
      <c r="F19" s="35" t="n">
        <f aca="false">-F18*Products!$G$5*(1-Assumptions!F$13)*Assumptions!$B$14</f>
        <v>-240300</v>
      </c>
      <c r="G19" s="35" t="n">
        <f aca="false">-G18*Products!$G$5*(1-Assumptions!G$13)*Assumptions!$B$14</f>
        <v>-400500</v>
      </c>
    </row>
    <row r="20" customFormat="false" ht="15" hidden="false" customHeight="false" outlineLevel="0" collapsed="false">
      <c r="A20" s="14" t="s">
        <v>156</v>
      </c>
      <c r="B20" s="2"/>
      <c r="C20" s="36" t="n">
        <f aca="false">C18+C19</f>
        <v>534000</v>
      </c>
      <c r="D20" s="36" t="n">
        <f aca="false">D18+D19</f>
        <v>1314975</v>
      </c>
      <c r="E20" s="36" t="n">
        <f aca="false">E18+E19</f>
        <v>2549850</v>
      </c>
      <c r="F20" s="36" t="n">
        <f aca="false">F18+F19</f>
        <v>3764700</v>
      </c>
      <c r="G20" s="36" t="n">
        <f aca="false">G18+G19</f>
        <v>4939500</v>
      </c>
    </row>
    <row r="21" customFormat="false" ht="15" hidden="false" customHeight="false" outlineLevel="0" collapsed="false">
      <c r="A21" s="14" t="s">
        <v>157</v>
      </c>
      <c r="B21" s="2"/>
      <c r="C21" s="35" t="n">
        <f aca="false">-C20*(Assumptions!$B$15+Assumptions!$B$16)</f>
        <v>-37380</v>
      </c>
      <c r="D21" s="35" t="n">
        <f aca="false">-D20*(Assumptions!$B$15+Assumptions!$B$16)</f>
        <v>-92048.25</v>
      </c>
      <c r="E21" s="35" t="n">
        <f aca="false">-E20*(Assumptions!$B$15+Assumptions!$B$16)</f>
        <v>-178489.5</v>
      </c>
      <c r="F21" s="35" t="n">
        <f aca="false">-F20*(Assumptions!$B$15+Assumptions!$B$16)</f>
        <v>-263529</v>
      </c>
      <c r="G21" s="35" t="n">
        <f aca="false">-G20*(Assumptions!$B$15+Assumptions!$B$16)</f>
        <v>-345765</v>
      </c>
    </row>
    <row r="22" customFormat="false" ht="15" hidden="false" customHeight="false" outlineLevel="0" collapsed="false">
      <c r="A22" s="14" t="s">
        <v>158</v>
      </c>
      <c r="B22" s="2"/>
      <c r="C22" s="35" t="n">
        <f aca="false">-C5*Products!$H$5</f>
        <v>-315000</v>
      </c>
      <c r="D22" s="35" t="n">
        <f aca="false">-D5*Products!$H$5</f>
        <v>-787500</v>
      </c>
      <c r="E22" s="35" t="n">
        <f aca="false">-E5*Products!$H$5</f>
        <v>-1575000</v>
      </c>
      <c r="F22" s="35" t="n">
        <f aca="false">-F5*Products!$H$5</f>
        <v>-2362500</v>
      </c>
      <c r="G22" s="35" t="n">
        <f aca="false">-G5*Products!$H$5</f>
        <v>-3150000</v>
      </c>
    </row>
    <row r="23" customFormat="false" ht="15" hidden="false" customHeight="false" outlineLevel="0" collapsed="false">
      <c r="A23" s="3" t="s">
        <v>159</v>
      </c>
      <c r="B23" s="2"/>
      <c r="C23" s="37" t="n">
        <f aca="false">C20+C21+C22</f>
        <v>181620</v>
      </c>
      <c r="D23" s="37" t="n">
        <f aca="false">D20+D21+D22</f>
        <v>435426.75</v>
      </c>
      <c r="E23" s="37" t="n">
        <f aca="false">E20+E21+E22</f>
        <v>796360.5</v>
      </c>
      <c r="F23" s="37" t="n">
        <f aca="false">F20+F21+F22</f>
        <v>1138671</v>
      </c>
      <c r="G23" s="37" t="n">
        <f aca="false">G20+G21+G22</f>
        <v>1443735</v>
      </c>
    </row>
    <row r="24" customFormat="false" ht="15" hidden="false" customHeight="false" outlineLevel="0" collapsed="false">
      <c r="A24" s="34" t="s">
        <v>131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14" t="s">
        <v>154</v>
      </c>
      <c r="B25" s="2"/>
      <c r="C25" s="35" t="n">
        <f aca="false">C6*Products!$B$6</f>
        <v>119000</v>
      </c>
      <c r="D25" s="35" t="n">
        <f aca="false">D6*Products!$B$6</f>
        <v>476000</v>
      </c>
      <c r="E25" s="35" t="n">
        <f aca="false">E6*Products!$B$6</f>
        <v>952000</v>
      </c>
      <c r="F25" s="35" t="n">
        <f aca="false">F6*Products!$B$6</f>
        <v>1428000</v>
      </c>
      <c r="G25" s="35" t="n">
        <f aca="false">G6*Products!$B$6</f>
        <v>1785000</v>
      </c>
    </row>
    <row r="26" customFormat="false" ht="15" hidden="false" customHeight="false" outlineLevel="0" collapsed="false">
      <c r="A26" s="14" t="s">
        <v>155</v>
      </c>
      <c r="B26" s="2"/>
      <c r="C26" s="35" t="n">
        <f aca="false">-C25*Products!$G$6*(1-Assumptions!C$13)*Assumptions!$B$14</f>
        <v>-0</v>
      </c>
      <c r="D26" s="35" t="n">
        <f aca="false">-D25*Products!$G$6*(1-Assumptions!D$13)*Assumptions!$B$14</f>
        <v>-7140.00000000001</v>
      </c>
      <c r="E26" s="35" t="n">
        <f aca="false">-E25*Products!$G$6*(1-Assumptions!E$13)*Assumptions!$B$14</f>
        <v>-42840</v>
      </c>
      <c r="F26" s="35" t="n">
        <f aca="false">-F25*Products!$G$6*(1-Assumptions!F$13)*Assumptions!$B$14</f>
        <v>-85680</v>
      </c>
      <c r="G26" s="35" t="n">
        <f aca="false">-G25*Products!$G$6*(1-Assumptions!G$13)*Assumptions!$B$14</f>
        <v>-133875</v>
      </c>
    </row>
    <row r="27" customFormat="false" ht="15" hidden="false" customHeight="false" outlineLevel="0" collapsed="false">
      <c r="A27" s="14" t="s">
        <v>156</v>
      </c>
      <c r="B27" s="2"/>
      <c r="C27" s="36" t="n">
        <f aca="false">C25+C26</f>
        <v>119000</v>
      </c>
      <c r="D27" s="36" t="n">
        <f aca="false">D25+D26</f>
        <v>468860</v>
      </c>
      <c r="E27" s="36" t="n">
        <f aca="false">E25+E26</f>
        <v>909160</v>
      </c>
      <c r="F27" s="36" t="n">
        <f aca="false">F25+F26</f>
        <v>1342320</v>
      </c>
      <c r="G27" s="36" t="n">
        <f aca="false">G25+G26</f>
        <v>1651125</v>
      </c>
    </row>
    <row r="28" customFormat="false" ht="15" hidden="false" customHeight="false" outlineLevel="0" collapsed="false">
      <c r="A28" s="14" t="s">
        <v>157</v>
      </c>
      <c r="B28" s="2"/>
      <c r="C28" s="35" t="n">
        <f aca="false">-C27*(Assumptions!$B$15+Assumptions!$B$16)</f>
        <v>-8330</v>
      </c>
      <c r="D28" s="35" t="n">
        <f aca="false">-D27*(Assumptions!$B$15+Assumptions!$B$16)</f>
        <v>-32820.2</v>
      </c>
      <c r="E28" s="35" t="n">
        <f aca="false">-E27*(Assumptions!$B$15+Assumptions!$B$16)</f>
        <v>-63641.2</v>
      </c>
      <c r="F28" s="35" t="n">
        <f aca="false">-F27*(Assumptions!$B$15+Assumptions!$B$16)</f>
        <v>-93962.4</v>
      </c>
      <c r="G28" s="35" t="n">
        <f aca="false">-G27*(Assumptions!$B$15+Assumptions!$B$16)</f>
        <v>-115578.75</v>
      </c>
    </row>
    <row r="29" customFormat="false" ht="15" hidden="false" customHeight="false" outlineLevel="0" collapsed="false">
      <c r="A29" s="14" t="s">
        <v>158</v>
      </c>
      <c r="B29" s="2"/>
      <c r="C29" s="35" t="n">
        <f aca="false">-C6*Products!$H$6</f>
        <v>-74250</v>
      </c>
      <c r="D29" s="35" t="n">
        <f aca="false">-D6*Products!$H$6</f>
        <v>-297000</v>
      </c>
      <c r="E29" s="35" t="n">
        <f aca="false">-E6*Products!$H$6</f>
        <v>-594000</v>
      </c>
      <c r="F29" s="35" t="n">
        <f aca="false">-F6*Products!$H$6</f>
        <v>-891000</v>
      </c>
      <c r="G29" s="35" t="n">
        <f aca="false">-G6*Products!$H$6</f>
        <v>-1113750</v>
      </c>
    </row>
    <row r="30" customFormat="false" ht="15" hidden="false" customHeight="false" outlineLevel="0" collapsed="false">
      <c r="A30" s="3" t="s">
        <v>159</v>
      </c>
      <c r="B30" s="2"/>
      <c r="C30" s="37" t="n">
        <f aca="false">C27+C28+C29</f>
        <v>36420</v>
      </c>
      <c r="D30" s="37" t="n">
        <f aca="false">D27+D28+D29</f>
        <v>139039.8</v>
      </c>
      <c r="E30" s="37" t="n">
        <f aca="false">E27+E28+E29</f>
        <v>251518.8</v>
      </c>
      <c r="F30" s="37" t="n">
        <f aca="false">F27+F28+F29</f>
        <v>357357.6</v>
      </c>
      <c r="G30" s="37" t="n">
        <f aca="false">G27+G28+G29</f>
        <v>421796.25</v>
      </c>
    </row>
    <row r="31" customFormat="false" ht="15" hidden="false" customHeight="false" outlineLevel="0" collapsed="false">
      <c r="A31" s="34" t="s">
        <v>133</v>
      </c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14" t="s">
        <v>154</v>
      </c>
      <c r="B32" s="2"/>
      <c r="C32" s="35" t="n">
        <f aca="false">C7*Products!$B$7</f>
        <v>43500</v>
      </c>
      <c r="D32" s="35" t="n">
        <f aca="false">D7*Products!$B$7</f>
        <v>87000</v>
      </c>
      <c r="E32" s="35" t="n">
        <f aca="false">E7*Products!$B$7</f>
        <v>130500</v>
      </c>
      <c r="F32" s="35" t="n">
        <f aca="false">F7*Products!$B$7</f>
        <v>159500</v>
      </c>
      <c r="G32" s="35" t="n">
        <f aca="false">G7*Products!$B$7</f>
        <v>188500</v>
      </c>
    </row>
    <row r="33" customFormat="false" ht="15" hidden="false" customHeight="false" outlineLevel="0" collapsed="false">
      <c r="A33" s="14" t="s">
        <v>155</v>
      </c>
      <c r="B33" s="2"/>
      <c r="C33" s="35" t="n">
        <f aca="false">-C32*Products!$G$7*(1-Assumptions!C$13)*Assumptions!$B$14</f>
        <v>-0</v>
      </c>
      <c r="D33" s="35" t="n">
        <f aca="false">-D32*Products!$G$7*(1-Assumptions!D$13)*Assumptions!$B$14</f>
        <v>-0</v>
      </c>
      <c r="E33" s="35" t="n">
        <f aca="false">-E32*Products!$G$7*(1-Assumptions!E$13)*Assumptions!$B$14</f>
        <v>-0</v>
      </c>
      <c r="F33" s="35" t="n">
        <f aca="false">-F32*Products!$G$7*(1-Assumptions!F$13)*Assumptions!$B$14</f>
        <v>-0</v>
      </c>
      <c r="G33" s="35" t="n">
        <f aca="false">-G32*Products!$G$7*(1-Assumptions!G$13)*Assumptions!$B$14</f>
        <v>-0</v>
      </c>
    </row>
    <row r="34" customFormat="false" ht="15" hidden="false" customHeight="false" outlineLevel="0" collapsed="false">
      <c r="A34" s="14" t="s">
        <v>156</v>
      </c>
      <c r="B34" s="2"/>
      <c r="C34" s="36" t="n">
        <f aca="false">C32+C33</f>
        <v>43500</v>
      </c>
      <c r="D34" s="36" t="n">
        <f aca="false">D32+D33</f>
        <v>87000</v>
      </c>
      <c r="E34" s="36" t="n">
        <f aca="false">E32+E33</f>
        <v>130500</v>
      </c>
      <c r="F34" s="36" t="n">
        <f aca="false">F32+F33</f>
        <v>159500</v>
      </c>
      <c r="G34" s="36" t="n">
        <f aca="false">G32+G33</f>
        <v>188500</v>
      </c>
    </row>
    <row r="35" customFormat="false" ht="15" hidden="false" customHeight="false" outlineLevel="0" collapsed="false">
      <c r="A35" s="14" t="s">
        <v>157</v>
      </c>
      <c r="B35" s="2"/>
      <c r="C35" s="35" t="n">
        <f aca="false">-C34*(Assumptions!$B$15+Assumptions!$B$16)</f>
        <v>-3045</v>
      </c>
      <c r="D35" s="35" t="n">
        <f aca="false">-D34*(Assumptions!$B$15+Assumptions!$B$16)</f>
        <v>-6090</v>
      </c>
      <c r="E35" s="35" t="n">
        <f aca="false">-E34*(Assumptions!$B$15+Assumptions!$B$16)</f>
        <v>-9135</v>
      </c>
      <c r="F35" s="35" t="n">
        <f aca="false">-F34*(Assumptions!$B$15+Assumptions!$B$16)</f>
        <v>-11165</v>
      </c>
      <c r="G35" s="35" t="n">
        <f aca="false">-G34*(Assumptions!$B$15+Assumptions!$B$16)</f>
        <v>-13195</v>
      </c>
    </row>
    <row r="36" customFormat="false" ht="15" hidden="false" customHeight="false" outlineLevel="0" collapsed="false">
      <c r="A36" s="14" t="s">
        <v>158</v>
      </c>
      <c r="B36" s="2"/>
      <c r="C36" s="35" t="n">
        <f aca="false">-C7*Products!$H$7</f>
        <v>-22500</v>
      </c>
      <c r="D36" s="35" t="n">
        <f aca="false">-D7*Products!$H$7</f>
        <v>-45000</v>
      </c>
      <c r="E36" s="35" t="n">
        <f aca="false">-E7*Products!$H$7</f>
        <v>-67500</v>
      </c>
      <c r="F36" s="35" t="n">
        <f aca="false">-F7*Products!$H$7</f>
        <v>-82500</v>
      </c>
      <c r="G36" s="35" t="n">
        <f aca="false">-G7*Products!$H$7</f>
        <v>-97500</v>
      </c>
    </row>
    <row r="37" customFormat="false" ht="15" hidden="false" customHeight="false" outlineLevel="0" collapsed="false">
      <c r="A37" s="3" t="s">
        <v>159</v>
      </c>
      <c r="B37" s="2"/>
      <c r="C37" s="37" t="n">
        <f aca="false">C34+C35+C36</f>
        <v>17955</v>
      </c>
      <c r="D37" s="37" t="n">
        <f aca="false">D34+D35+D36</f>
        <v>35910</v>
      </c>
      <c r="E37" s="37" t="n">
        <f aca="false">E34+E35+E36</f>
        <v>53865</v>
      </c>
      <c r="F37" s="37" t="n">
        <f aca="false">F34+F35+F36</f>
        <v>65835</v>
      </c>
      <c r="G37" s="37" t="n">
        <f aca="false">G34+G35+G36</f>
        <v>77805</v>
      </c>
    </row>
    <row r="38" customFormat="false" ht="15" hidden="false" customHeight="false" outlineLevel="0" collapsed="false">
      <c r="A38" s="34" t="s">
        <v>135</v>
      </c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14" t="s">
        <v>154</v>
      </c>
      <c r="B39" s="2"/>
      <c r="C39" s="35" t="n">
        <f aca="false">C8*Products!$B$8</f>
        <v>0</v>
      </c>
      <c r="D39" s="35" t="n">
        <f aca="false">D8*Products!$B$8</f>
        <v>73500</v>
      </c>
      <c r="E39" s="35" t="n">
        <f aca="false">E8*Products!$B$8</f>
        <v>196000</v>
      </c>
      <c r="F39" s="35" t="n">
        <f aca="false">F8*Products!$B$8</f>
        <v>294000</v>
      </c>
      <c r="G39" s="35" t="n">
        <f aca="false">G8*Products!$B$8</f>
        <v>392000</v>
      </c>
    </row>
    <row r="40" customFormat="false" ht="15" hidden="false" customHeight="false" outlineLevel="0" collapsed="false">
      <c r="A40" s="14" t="s">
        <v>155</v>
      </c>
      <c r="B40" s="2"/>
      <c r="C40" s="35" t="n">
        <f aca="false">-C39*Products!$G$8*(1-Assumptions!C$13)*Assumptions!$B$14</f>
        <v>-0</v>
      </c>
      <c r="D40" s="35" t="n">
        <f aca="false">-D39*Products!$G$8*(1-Assumptions!D$13)*Assumptions!$B$14</f>
        <v>-1102.5</v>
      </c>
      <c r="E40" s="35" t="n">
        <f aca="false">-E39*Products!$G$8*(1-Assumptions!E$13)*Assumptions!$B$14</f>
        <v>-8820</v>
      </c>
      <c r="F40" s="35" t="n">
        <f aca="false">-F39*Products!$G$8*(1-Assumptions!F$13)*Assumptions!$B$14</f>
        <v>-17640</v>
      </c>
      <c r="G40" s="35" t="n">
        <f aca="false">-G39*Products!$G$8*(1-Assumptions!G$13)*Assumptions!$B$14</f>
        <v>-29400</v>
      </c>
    </row>
    <row r="41" customFormat="false" ht="15" hidden="false" customHeight="false" outlineLevel="0" collapsed="false">
      <c r="A41" s="14" t="s">
        <v>156</v>
      </c>
      <c r="B41" s="2"/>
      <c r="C41" s="36" t="n">
        <f aca="false">C39+C40</f>
        <v>0</v>
      </c>
      <c r="D41" s="36" t="n">
        <f aca="false">D39+D40</f>
        <v>72397.5</v>
      </c>
      <c r="E41" s="36" t="n">
        <f aca="false">E39+E40</f>
        <v>187180</v>
      </c>
      <c r="F41" s="36" t="n">
        <f aca="false">F39+F40</f>
        <v>276360</v>
      </c>
      <c r="G41" s="36" t="n">
        <f aca="false">G39+G40</f>
        <v>362600</v>
      </c>
    </row>
    <row r="42" customFormat="false" ht="15" hidden="false" customHeight="false" outlineLevel="0" collapsed="false">
      <c r="A42" s="14" t="s">
        <v>157</v>
      </c>
      <c r="B42" s="2"/>
      <c r="C42" s="35" t="n">
        <f aca="false">-C41*(Assumptions!$B$15+Assumptions!$B$16)</f>
        <v>-0</v>
      </c>
      <c r="D42" s="35" t="n">
        <f aca="false">-D41*(Assumptions!$B$15+Assumptions!$B$16)</f>
        <v>-5067.825</v>
      </c>
      <c r="E42" s="35" t="n">
        <f aca="false">-E41*(Assumptions!$B$15+Assumptions!$B$16)</f>
        <v>-13102.6</v>
      </c>
      <c r="F42" s="35" t="n">
        <f aca="false">-F41*(Assumptions!$B$15+Assumptions!$B$16)</f>
        <v>-19345.2</v>
      </c>
      <c r="G42" s="35" t="n">
        <f aca="false">-G41*(Assumptions!$B$15+Assumptions!$B$16)</f>
        <v>-25382</v>
      </c>
    </row>
    <row r="43" customFormat="false" ht="15" hidden="false" customHeight="false" outlineLevel="0" collapsed="false">
      <c r="A43" s="14" t="s">
        <v>158</v>
      </c>
      <c r="B43" s="2"/>
      <c r="C43" s="35" t="n">
        <f aca="false">-C8*Products!$H$8</f>
        <v>-0</v>
      </c>
      <c r="D43" s="35" t="n">
        <f aca="false">-D8*Products!$H$8</f>
        <v>-46500</v>
      </c>
      <c r="E43" s="35" t="n">
        <f aca="false">-E8*Products!$H$8</f>
        <v>-124000</v>
      </c>
      <c r="F43" s="35" t="n">
        <f aca="false">-F8*Products!$H$8</f>
        <v>-186000</v>
      </c>
      <c r="G43" s="35" t="n">
        <f aca="false">-G8*Products!$H$8</f>
        <v>-248000</v>
      </c>
    </row>
    <row r="44" customFormat="false" ht="15" hidden="false" customHeight="false" outlineLevel="0" collapsed="false">
      <c r="A44" s="3" t="s">
        <v>159</v>
      </c>
      <c r="B44" s="2"/>
      <c r="C44" s="37" t="n">
        <f aca="false">C41+C42+C43</f>
        <v>0</v>
      </c>
      <c r="D44" s="37" t="n">
        <f aca="false">D41+D42+D43</f>
        <v>20829.675</v>
      </c>
      <c r="E44" s="37" t="n">
        <f aca="false">E41+E42+E43</f>
        <v>50077.4</v>
      </c>
      <c r="F44" s="37" t="n">
        <f aca="false">F41+F42+F43</f>
        <v>71014.8</v>
      </c>
      <c r="G44" s="37" t="n">
        <f aca="false">G41+G42+G43</f>
        <v>89218</v>
      </c>
    </row>
    <row r="45" customFormat="false" ht="15" hidden="false" customHeight="false" outlineLevel="0" collapsed="false">
      <c r="A45" s="34" t="s">
        <v>137</v>
      </c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14" t="s">
        <v>154</v>
      </c>
      <c r="B46" s="2"/>
      <c r="C46" s="35" t="n">
        <f aca="false">C10*Products!$B$9</f>
        <v>26600</v>
      </c>
      <c r="D46" s="35" t="n">
        <f aca="false">D10*Products!$B$9</f>
        <v>72200</v>
      </c>
      <c r="E46" s="35" t="n">
        <f aca="false">E10*Products!$B$9</f>
        <v>144400</v>
      </c>
      <c r="F46" s="35" t="n">
        <f aca="false">F10*Products!$B$9</f>
        <v>216600</v>
      </c>
      <c r="G46" s="35" t="n">
        <f aca="false">G10*Products!$B$9</f>
        <v>285000</v>
      </c>
    </row>
    <row r="47" customFormat="false" ht="15" hidden="false" customHeight="false" outlineLevel="0" collapsed="false">
      <c r="A47" s="14" t="s">
        <v>155</v>
      </c>
      <c r="B47" s="2"/>
      <c r="C47" s="35" t="n">
        <f aca="false">-C46*Products!$G$9*(1-Assumptions!C$13)*Assumptions!$B$14</f>
        <v>-0</v>
      </c>
      <c r="D47" s="35" t="n">
        <f aca="false">-D46*Products!$G$9*(1-Assumptions!D$13)*Assumptions!$B$14</f>
        <v>-0</v>
      </c>
      <c r="E47" s="35" t="n">
        <f aca="false">-E46*Products!$G$9*(1-Assumptions!E$13)*Assumptions!$B$14</f>
        <v>-0</v>
      </c>
      <c r="F47" s="35" t="n">
        <f aca="false">-F46*Products!$G$9*(1-Assumptions!F$13)*Assumptions!$B$14</f>
        <v>-0</v>
      </c>
      <c r="G47" s="35" t="n">
        <f aca="false">-G46*Products!$G$9*(1-Assumptions!G$13)*Assumptions!$B$14</f>
        <v>-0</v>
      </c>
    </row>
    <row r="48" customFormat="false" ht="15" hidden="false" customHeight="false" outlineLevel="0" collapsed="false">
      <c r="A48" s="14" t="s">
        <v>156</v>
      </c>
      <c r="B48" s="2"/>
      <c r="C48" s="36" t="n">
        <f aca="false">C46+C47</f>
        <v>26600</v>
      </c>
      <c r="D48" s="36" t="n">
        <f aca="false">D46+D47</f>
        <v>72200</v>
      </c>
      <c r="E48" s="36" t="n">
        <f aca="false">E46+E47</f>
        <v>144400</v>
      </c>
      <c r="F48" s="36" t="n">
        <f aca="false">F46+F47</f>
        <v>216600</v>
      </c>
      <c r="G48" s="36" t="n">
        <f aca="false">G46+G47</f>
        <v>285000</v>
      </c>
    </row>
    <row r="49" customFormat="false" ht="15" hidden="false" customHeight="false" outlineLevel="0" collapsed="false">
      <c r="A49" s="14" t="s">
        <v>157</v>
      </c>
      <c r="B49" s="2"/>
      <c r="C49" s="35" t="n">
        <f aca="false">-C48*(Assumptions!$B$15+Assumptions!$B$16)</f>
        <v>-1862</v>
      </c>
      <c r="D49" s="35" t="n">
        <f aca="false">-D48*(Assumptions!$B$15+Assumptions!$B$16)</f>
        <v>-5054</v>
      </c>
      <c r="E49" s="35" t="n">
        <f aca="false">-E48*(Assumptions!$B$15+Assumptions!$B$16)</f>
        <v>-10108</v>
      </c>
      <c r="F49" s="35" t="n">
        <f aca="false">-F48*(Assumptions!$B$15+Assumptions!$B$16)</f>
        <v>-15162</v>
      </c>
      <c r="G49" s="35" t="n">
        <f aca="false">-G48*(Assumptions!$B$15+Assumptions!$B$16)</f>
        <v>-19950</v>
      </c>
    </row>
    <row r="50" customFormat="false" ht="15" hidden="false" customHeight="false" outlineLevel="0" collapsed="false">
      <c r="A50" s="14" t="s">
        <v>158</v>
      </c>
      <c r="B50" s="2"/>
      <c r="C50" s="35" t="n">
        <f aca="false">-C10*Products!$H$9</f>
        <v>-13300</v>
      </c>
      <c r="D50" s="35" t="n">
        <f aca="false">-D10*Products!$H$9</f>
        <v>-36100</v>
      </c>
      <c r="E50" s="35" t="n">
        <f aca="false">-E10*Products!$H$9</f>
        <v>-72200</v>
      </c>
      <c r="F50" s="35" t="n">
        <f aca="false">-F10*Products!$H$9</f>
        <v>-108300</v>
      </c>
      <c r="G50" s="35" t="n">
        <f aca="false">-G10*Products!$H$9</f>
        <v>-142500</v>
      </c>
    </row>
    <row r="51" customFormat="false" ht="15" hidden="false" customHeight="false" outlineLevel="0" collapsed="false">
      <c r="A51" s="3" t="s">
        <v>159</v>
      </c>
      <c r="B51" s="2"/>
      <c r="C51" s="37" t="n">
        <f aca="false">C48+C49+C50</f>
        <v>11438</v>
      </c>
      <c r="D51" s="37" t="n">
        <f aca="false">D48+D49+D50</f>
        <v>31046</v>
      </c>
      <c r="E51" s="37" t="n">
        <f aca="false">E48+E49+E50</f>
        <v>62092</v>
      </c>
      <c r="F51" s="37" t="n">
        <f aca="false">F48+F49+F50</f>
        <v>93138</v>
      </c>
      <c r="G51" s="37" t="n">
        <f aca="false">G48+G49+G50</f>
        <v>122550</v>
      </c>
    </row>
    <row r="52" customFormat="false" ht="15" hidden="false" customHeight="false" outlineLevel="0" collapsed="false">
      <c r="A52" s="34" t="s">
        <v>139</v>
      </c>
      <c r="B52" s="2"/>
      <c r="C52" s="2"/>
      <c r="D52" s="2"/>
      <c r="E52" s="2"/>
      <c r="F52" s="2"/>
      <c r="G52" s="2"/>
    </row>
    <row r="53" customFormat="false" ht="15" hidden="false" customHeight="false" outlineLevel="0" collapsed="false">
      <c r="A53" s="14" t="s">
        <v>154</v>
      </c>
      <c r="B53" s="2"/>
      <c r="C53" s="35" t="n">
        <f aca="false">C11*Products!$B$10</f>
        <v>5239.5</v>
      </c>
      <c r="D53" s="35" t="n">
        <f aca="false">D11*Products!$B$10</f>
        <v>14221.5</v>
      </c>
      <c r="E53" s="35" t="n">
        <f aca="false">E11*Products!$B$10</f>
        <v>28443</v>
      </c>
      <c r="F53" s="35" t="n">
        <f aca="false">F11*Products!$B$10</f>
        <v>42664.5</v>
      </c>
      <c r="G53" s="35" t="n">
        <f aca="false">G11*Products!$B$10</f>
        <v>56137.5</v>
      </c>
    </row>
    <row r="54" customFormat="false" ht="15" hidden="false" customHeight="false" outlineLevel="0" collapsed="false">
      <c r="A54" s="14" t="s">
        <v>155</v>
      </c>
      <c r="B54" s="2"/>
      <c r="C54" s="35" t="n">
        <f aca="false">-C53*Products!$G$10*(1-Assumptions!C$13)*Assumptions!$B$14</f>
        <v>-0</v>
      </c>
      <c r="D54" s="35" t="n">
        <f aca="false">-D53*Products!$G$10*(1-Assumptions!D$13)*Assumptions!$B$14</f>
        <v>-0</v>
      </c>
      <c r="E54" s="35" t="n">
        <f aca="false">-E53*Products!$G$10*(1-Assumptions!E$13)*Assumptions!$B$14</f>
        <v>-0</v>
      </c>
      <c r="F54" s="35" t="n">
        <f aca="false">-F53*Products!$G$10*(1-Assumptions!F$13)*Assumptions!$B$14</f>
        <v>-0</v>
      </c>
      <c r="G54" s="35" t="n">
        <f aca="false">-G53*Products!$G$10*(1-Assumptions!G$13)*Assumptions!$B$14</f>
        <v>-0</v>
      </c>
    </row>
    <row r="55" customFormat="false" ht="15" hidden="false" customHeight="false" outlineLevel="0" collapsed="false">
      <c r="A55" s="14" t="s">
        <v>156</v>
      </c>
      <c r="B55" s="2"/>
      <c r="C55" s="36" t="n">
        <f aca="false">C53+C54</f>
        <v>5239.5</v>
      </c>
      <c r="D55" s="36" t="n">
        <f aca="false">D53+D54</f>
        <v>14221.5</v>
      </c>
      <c r="E55" s="36" t="n">
        <f aca="false">E53+E54</f>
        <v>28443</v>
      </c>
      <c r="F55" s="36" t="n">
        <f aca="false">F53+F54</f>
        <v>42664.5</v>
      </c>
      <c r="G55" s="36" t="n">
        <f aca="false">G53+G54</f>
        <v>56137.5</v>
      </c>
    </row>
    <row r="56" customFormat="false" ht="15" hidden="false" customHeight="false" outlineLevel="0" collapsed="false">
      <c r="A56" s="14" t="s">
        <v>157</v>
      </c>
      <c r="B56" s="2"/>
      <c r="C56" s="35" t="n">
        <f aca="false">-C55*(Assumptions!$B$15+Assumptions!$B$16)</f>
        <v>-366.765</v>
      </c>
      <c r="D56" s="35" t="n">
        <f aca="false">-D55*(Assumptions!$B$15+Assumptions!$B$16)</f>
        <v>-995.505</v>
      </c>
      <c r="E56" s="35" t="n">
        <f aca="false">-E55*(Assumptions!$B$15+Assumptions!$B$16)</f>
        <v>-1991.01</v>
      </c>
      <c r="F56" s="35" t="n">
        <f aca="false">-F55*(Assumptions!$B$15+Assumptions!$B$16)</f>
        <v>-2986.515</v>
      </c>
      <c r="G56" s="35" t="n">
        <f aca="false">-G55*(Assumptions!$B$15+Assumptions!$B$16)</f>
        <v>-3929.625</v>
      </c>
    </row>
    <row r="57" customFormat="false" ht="15" hidden="false" customHeight="false" outlineLevel="0" collapsed="false">
      <c r="A57" s="14" t="s">
        <v>158</v>
      </c>
      <c r="B57" s="2"/>
      <c r="C57" s="35" t="n">
        <f aca="false">-C11*Products!$H$10</f>
        <v>-1680</v>
      </c>
      <c r="D57" s="35" t="n">
        <f aca="false">-D11*Products!$H$10</f>
        <v>-4560</v>
      </c>
      <c r="E57" s="35" t="n">
        <f aca="false">-E11*Products!$H$10</f>
        <v>-9120</v>
      </c>
      <c r="F57" s="35" t="n">
        <f aca="false">-F11*Products!$H$10</f>
        <v>-13680</v>
      </c>
      <c r="G57" s="35" t="n">
        <f aca="false">-G11*Products!$H$10</f>
        <v>-18000</v>
      </c>
    </row>
    <row r="58" customFormat="false" ht="15" hidden="false" customHeight="false" outlineLevel="0" collapsed="false">
      <c r="A58" s="3" t="s">
        <v>159</v>
      </c>
      <c r="B58" s="2"/>
      <c r="C58" s="37" t="n">
        <f aca="false">C55+C56+C57</f>
        <v>3192.735</v>
      </c>
      <c r="D58" s="37" t="n">
        <f aca="false">D55+D56+D57</f>
        <v>8665.995</v>
      </c>
      <c r="E58" s="37" t="n">
        <f aca="false">E55+E56+E57</f>
        <v>17331.99</v>
      </c>
      <c r="F58" s="37" t="n">
        <f aca="false">F55+F56+F57</f>
        <v>25997.985</v>
      </c>
      <c r="G58" s="37" t="n">
        <f aca="false">G55+G56+G57</f>
        <v>34207.875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5" hidden="false" customHeight="false" outlineLevel="0" collapsed="false">
      <c r="A60" s="12" t="s">
        <v>160</v>
      </c>
      <c r="B60" s="13"/>
      <c r="C60" s="13"/>
      <c r="D60" s="13"/>
      <c r="E60" s="13"/>
      <c r="F60" s="13"/>
      <c r="G60" s="13"/>
    </row>
    <row r="61" customFormat="false" ht="15" hidden="false" customHeight="false" outlineLevel="0" collapsed="false">
      <c r="A61" s="14" t="s">
        <v>161</v>
      </c>
      <c r="B61" s="2"/>
      <c r="C61" s="36" t="n">
        <f aca="false">C20+C27+C34+C41+C48+C55</f>
        <v>728339.5</v>
      </c>
      <c r="D61" s="36" t="n">
        <f aca="false">D20+D27+D34+D41+D48+D55</f>
        <v>2029654</v>
      </c>
      <c r="E61" s="36" t="n">
        <f aca="false">E20+E27+E34+E41+E48+E55</f>
        <v>3949533</v>
      </c>
      <c r="F61" s="36" t="n">
        <f aca="false">F20+F27+F34+F41+F48+F55</f>
        <v>5802144.5</v>
      </c>
      <c r="G61" s="36" t="n">
        <f aca="false">G20+G27+G34+G41+G48+G55</f>
        <v>7482862.5</v>
      </c>
    </row>
    <row r="62" customFormat="false" ht="15" hidden="false" customHeight="false" outlineLevel="0" collapsed="false">
      <c r="A62" s="14" t="s">
        <v>162</v>
      </c>
      <c r="B62" s="2"/>
      <c r="C62" s="36" t="n">
        <f aca="false">C23+C30+C37+C44+C51+C58</f>
        <v>250625.735</v>
      </c>
      <c r="D62" s="36" t="n">
        <f aca="false">D23+D30+D37+D44+D51+D58</f>
        <v>670918.22</v>
      </c>
      <c r="E62" s="36" t="n">
        <f aca="false">E23+E30+E37+E44+E51+E58</f>
        <v>1231245.69</v>
      </c>
      <c r="F62" s="36" t="n">
        <f aca="false">F23+F30+F37+F44+F51+F58</f>
        <v>1752014.385</v>
      </c>
      <c r="G62" s="36" t="n">
        <f aca="false">G23+G30+G37+G44+G51+G58</f>
        <v>2189312.125</v>
      </c>
    </row>
    <row r="63" customFormat="false" ht="15" hidden="false" customHeight="false" outlineLevel="0" collapsed="false">
      <c r="A63" s="14" t="s">
        <v>163</v>
      </c>
      <c r="B63" s="2"/>
      <c r="C63" s="35" t="n">
        <f aca="false">C14*Assumptions!C$20</f>
        <v>2975</v>
      </c>
      <c r="D63" s="35" t="n">
        <f aca="false">D14*Assumptions!D$20</f>
        <v>21037.5</v>
      </c>
      <c r="E63" s="35" t="n">
        <f aca="false">E14*Assumptions!E$20</f>
        <v>76500</v>
      </c>
      <c r="F63" s="35" t="n">
        <f aca="false">F14*Assumptions!F$20</f>
        <v>196562.5</v>
      </c>
      <c r="G63" s="35" t="n">
        <f aca="false">G14*Assumptions!G$20</f>
        <v>404175</v>
      </c>
    </row>
    <row r="64" customFormat="false" ht="15" hidden="false" customHeight="false" outlineLevel="0" collapsed="false">
      <c r="A64" s="14" t="s">
        <v>164</v>
      </c>
      <c r="B64" s="2"/>
      <c r="C64" s="35" t="n">
        <f aca="false">C14*Assumptions!$B$21*Assumptions!$B$22</f>
        <v>892.5</v>
      </c>
      <c r="D64" s="35" t="n">
        <f aca="false">D14*Assumptions!$B$21*Assumptions!$B$22</f>
        <v>4207.5</v>
      </c>
      <c r="E64" s="35" t="n">
        <f aca="false">E14*Assumptions!$B$21*Assumptions!$B$22</f>
        <v>11475</v>
      </c>
      <c r="F64" s="35" t="n">
        <f aca="false">F14*Assumptions!$B$21*Assumptions!$B$22</f>
        <v>23587.5</v>
      </c>
      <c r="G64" s="35" t="n">
        <f aca="false">G14*Assumptions!$B$21*Assumptions!$B$22</f>
        <v>40417.5</v>
      </c>
    </row>
    <row r="65" customFormat="false" ht="15" hidden="false" customHeight="false" outlineLevel="0" collapsed="false">
      <c r="A65" s="14" t="s">
        <v>165</v>
      </c>
      <c r="B65" s="2"/>
      <c r="C65" s="35" t="n">
        <f aca="false">Assumptions!C$23*Assumptions!$B$24</f>
        <v>0</v>
      </c>
      <c r="D65" s="35" t="n">
        <f aca="false">Assumptions!D$23*Assumptions!$B$24</f>
        <v>20000</v>
      </c>
      <c r="E65" s="35" t="n">
        <f aca="false">Assumptions!E$23*Assumptions!$B$24</f>
        <v>60000</v>
      </c>
      <c r="F65" s="35" t="n">
        <f aca="false">Assumptions!F$23*Assumptions!$B$24</f>
        <v>100000</v>
      </c>
      <c r="G65" s="35" t="n">
        <f aca="false">Assumptions!G$23*Assumptions!$B$24</f>
        <v>160000</v>
      </c>
    </row>
    <row r="66" customFormat="false" ht="15" hidden="false" customHeight="false" outlineLevel="0" collapsed="false">
      <c r="A66" s="14" t="s">
        <v>166</v>
      </c>
      <c r="B66" s="2"/>
      <c r="C66" s="35" t="n">
        <f aca="false">Assumptions!C$25</f>
        <v>5000</v>
      </c>
      <c r="D66" s="35" t="n">
        <f aca="false">Assumptions!D$25</f>
        <v>15000</v>
      </c>
      <c r="E66" s="35" t="n">
        <f aca="false">Assumptions!E$25</f>
        <v>30000</v>
      </c>
      <c r="F66" s="35" t="n">
        <f aca="false">Assumptions!F$25</f>
        <v>40000</v>
      </c>
      <c r="G66" s="35" t="n">
        <f aca="false">Assumptions!G$25</f>
        <v>50000</v>
      </c>
    </row>
    <row r="67" customFormat="false" ht="15" hidden="false" customHeight="false" outlineLevel="0" collapsed="false">
      <c r="A67" s="14" t="s">
        <v>167</v>
      </c>
      <c r="B67" s="2"/>
      <c r="C67" s="36" t="n">
        <f aca="false">SUM(C63:C66)</f>
        <v>8867.5</v>
      </c>
      <c r="D67" s="36" t="n">
        <f aca="false">SUM(D63:D66)</f>
        <v>60245</v>
      </c>
      <c r="E67" s="36" t="n">
        <f aca="false">SUM(E63:E66)</f>
        <v>177975</v>
      </c>
      <c r="F67" s="36" t="n">
        <f aca="false">SUM(F63:F66)</f>
        <v>360150</v>
      </c>
      <c r="G67" s="36" t="n">
        <f aca="false">SUM(G63:G66)</f>
        <v>654592.5</v>
      </c>
    </row>
    <row r="68" customFormat="false" ht="15" hidden="false" customHeight="false" outlineLevel="0" collapsed="false">
      <c r="A68" s="38" t="s">
        <v>168</v>
      </c>
      <c r="B68" s="2"/>
      <c r="C68" s="39" t="n">
        <f aca="false">C61+C67</f>
        <v>737207</v>
      </c>
      <c r="D68" s="39" t="n">
        <f aca="false">D61+D67</f>
        <v>2089899</v>
      </c>
      <c r="E68" s="39" t="n">
        <f aca="false">E61+E67</f>
        <v>4127508</v>
      </c>
      <c r="F68" s="39" t="n">
        <f aca="false">F61+F67</f>
        <v>6162294.5</v>
      </c>
      <c r="G68" s="39" t="n">
        <f aca="false">G61+G67</f>
        <v>8137455</v>
      </c>
    </row>
    <row r="69" customFormat="false" ht="15" hidden="false" customHeight="false" outlineLevel="0" collapsed="false">
      <c r="A69" s="38" t="s">
        <v>169</v>
      </c>
      <c r="B69" s="2"/>
      <c r="C69" s="39" t="n">
        <f aca="false">C62+C67</f>
        <v>259493.235</v>
      </c>
      <c r="D69" s="39" t="n">
        <f aca="false">D62+D67</f>
        <v>731163.22</v>
      </c>
      <c r="E69" s="39" t="n">
        <f aca="false">E62+E67</f>
        <v>1409220.69</v>
      </c>
      <c r="F69" s="39" t="n">
        <f aca="false">F62+F67</f>
        <v>2112164.385</v>
      </c>
      <c r="G69" s="39" t="n">
        <f aca="false">G62+G67</f>
        <v>2843904.625</v>
      </c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5" hidden="false" customHeight="false" outlineLevel="0" collapsed="false">
      <c r="A71" s="12" t="s">
        <v>170</v>
      </c>
      <c r="B71" s="13"/>
      <c r="C71" s="13"/>
      <c r="D71" s="13"/>
      <c r="E71" s="13"/>
      <c r="F71" s="13"/>
      <c r="G71" s="13"/>
    </row>
    <row r="72" customFormat="false" ht="15" hidden="false" customHeight="false" outlineLevel="0" collapsed="false">
      <c r="A72" s="14" t="s">
        <v>171</v>
      </c>
      <c r="B72" s="2"/>
      <c r="C72" s="35" t="n">
        <f aca="false">Assumptions!C$29*Assumptions!$B$28</f>
        <v>320000</v>
      </c>
      <c r="D72" s="35" t="n">
        <f aca="false">Assumptions!D$29*Assumptions!$B$28</f>
        <v>320000</v>
      </c>
      <c r="E72" s="35" t="n">
        <f aca="false">Assumptions!E$29*Assumptions!$B$28</f>
        <v>480000</v>
      </c>
      <c r="F72" s="35" t="n">
        <f aca="false">Assumptions!F$29*Assumptions!$B$28</f>
        <v>480000</v>
      </c>
      <c r="G72" s="35" t="n">
        <f aca="false">Assumptions!G$29*Assumptions!$B$28</f>
        <v>640000</v>
      </c>
    </row>
    <row r="73" customFormat="false" ht="15" hidden="false" customHeight="false" outlineLevel="0" collapsed="false">
      <c r="A73" s="14" t="s">
        <v>172</v>
      </c>
      <c r="B73" s="2"/>
      <c r="C73" s="35" t="n">
        <f aca="false">Assumptions!C$30*Assumptions!$B$28</f>
        <v>160000</v>
      </c>
      <c r="D73" s="35" t="n">
        <f aca="false">Assumptions!D$30*Assumptions!$B$28</f>
        <v>160000</v>
      </c>
      <c r="E73" s="35" t="n">
        <f aca="false">Assumptions!E$30*Assumptions!$B$28</f>
        <v>160000</v>
      </c>
      <c r="F73" s="35" t="n">
        <f aca="false">Assumptions!F$30*Assumptions!$B$28</f>
        <v>320000</v>
      </c>
      <c r="G73" s="35" t="n">
        <f aca="false">Assumptions!G$30*Assumptions!$B$28</f>
        <v>320000</v>
      </c>
    </row>
    <row r="74" customFormat="false" ht="15" hidden="false" customHeight="false" outlineLevel="0" collapsed="false">
      <c r="A74" s="14" t="s">
        <v>173</v>
      </c>
      <c r="B74" s="2"/>
      <c r="C74" s="35" t="n">
        <f aca="false">Assumptions!C$31+C68*Assumptions!$B$32</f>
        <v>144232.42</v>
      </c>
      <c r="D74" s="35" t="n">
        <f aca="false">Assumptions!D$31+D68*Assumptions!$B$32</f>
        <v>200393.94</v>
      </c>
      <c r="E74" s="35" t="n">
        <f aca="false">Assumptions!E$31+E68*Assumptions!$B$32</f>
        <v>322650.48</v>
      </c>
      <c r="F74" s="35" t="n">
        <f aca="false">Assumptions!F$31+F68*Assumptions!$B$32</f>
        <v>469737.67</v>
      </c>
      <c r="G74" s="35" t="n">
        <f aca="false">Assumptions!G$31+G68*Assumptions!$B$32</f>
        <v>588247.3</v>
      </c>
    </row>
    <row r="75" customFormat="false" ht="15" hidden="false" customHeight="false" outlineLevel="0" collapsed="false">
      <c r="A75" s="14" t="s">
        <v>174</v>
      </c>
      <c r="B75" s="2"/>
      <c r="C75" s="35" t="n">
        <f aca="false">Assumptions!C$33</f>
        <v>150000</v>
      </c>
      <c r="D75" s="35" t="n">
        <f aca="false">Assumptions!D$33</f>
        <v>200000</v>
      </c>
      <c r="E75" s="35" t="n">
        <f aca="false">Assumptions!E$33</f>
        <v>250000</v>
      </c>
      <c r="F75" s="35" t="n">
        <f aca="false">Assumptions!F$33</f>
        <v>300000</v>
      </c>
      <c r="G75" s="35" t="n">
        <f aca="false">Assumptions!G$33</f>
        <v>350000</v>
      </c>
    </row>
    <row r="76" customFormat="false" ht="15" hidden="false" customHeight="false" outlineLevel="0" collapsed="false">
      <c r="A76" s="14" t="s">
        <v>175</v>
      </c>
      <c r="B76" s="2"/>
      <c r="C76" s="35" t="n">
        <f aca="false">MIN(Assumptions!$B$36+Assumptions!$B$37*C9,Assumptions!$B$38)</f>
        <v>10000</v>
      </c>
      <c r="D76" s="35" t="n">
        <f aca="false">MIN(Assumptions!$B$36+Assumptions!$B$37*D9,Assumptions!$B$38)</f>
        <v>10000</v>
      </c>
      <c r="E76" s="35" t="n">
        <f aca="false">MIN(Assumptions!$B$36+Assumptions!$B$37*E9,Assumptions!$B$38)</f>
        <v>10000</v>
      </c>
      <c r="F76" s="35" t="n">
        <f aca="false">MIN(Assumptions!$B$36+Assumptions!$B$37*F9,Assumptions!$B$38)</f>
        <v>10000</v>
      </c>
      <c r="G76" s="35" t="n">
        <f aca="false">MIN(Assumptions!$B$36+Assumptions!$B$37*G9,Assumptions!$B$38)</f>
        <v>10000</v>
      </c>
    </row>
    <row r="77" customFormat="false" ht="15" hidden="false" customHeight="false" outlineLevel="0" collapsed="false">
      <c r="A77" s="14" t="s">
        <v>176</v>
      </c>
      <c r="B77" s="2"/>
      <c r="C77" s="35" t="n">
        <f aca="false">Assumptions!C$42*Assumptions!$B$39</f>
        <v>24000</v>
      </c>
      <c r="D77" s="35" t="n">
        <f aca="false">Assumptions!D$42*Assumptions!$B$39</f>
        <v>12000</v>
      </c>
      <c r="E77" s="35" t="n">
        <f aca="false">Assumptions!E$42*Assumptions!$B$39</f>
        <v>0</v>
      </c>
      <c r="F77" s="35" t="n">
        <f aca="false">Assumptions!F$42*Assumptions!$B$39</f>
        <v>0</v>
      </c>
      <c r="G77" s="35" t="n">
        <f aca="false">Assumptions!G$42*Assumptions!$B$39</f>
        <v>12000</v>
      </c>
    </row>
    <row r="78" customFormat="false" ht="15" hidden="false" customHeight="false" outlineLevel="0" collapsed="false">
      <c r="A78" s="14" t="s">
        <v>177</v>
      </c>
      <c r="B78" s="2"/>
      <c r="C78" s="35" t="n">
        <f aca="false">Assumptions!C$41*Assumptions!$B$40</f>
        <v>40000</v>
      </c>
      <c r="D78" s="35" t="n">
        <f aca="false">Assumptions!D$41*Assumptions!$B$40</f>
        <v>20000</v>
      </c>
      <c r="E78" s="35" t="n">
        <f aca="false">Assumptions!E$41*Assumptions!$B$40</f>
        <v>20000</v>
      </c>
      <c r="F78" s="35" t="n">
        <f aca="false">Assumptions!F$41*Assumptions!$B$40</f>
        <v>0</v>
      </c>
      <c r="G78" s="35" t="n">
        <f aca="false">Assumptions!G$41*Assumptions!$B$40</f>
        <v>20000</v>
      </c>
    </row>
    <row r="79" customFormat="false" ht="15" hidden="false" customHeight="false" outlineLevel="0" collapsed="false">
      <c r="A79" s="14" t="s">
        <v>178</v>
      </c>
      <c r="B79" s="2"/>
      <c r="C79" s="35" t="n">
        <f aca="false">Assumptions!C$43</f>
        <v>75000</v>
      </c>
      <c r="D79" s="35" t="n">
        <f aca="false">Assumptions!D$43</f>
        <v>40000</v>
      </c>
      <c r="E79" s="35" t="n">
        <f aca="false">Assumptions!E$43</f>
        <v>30000</v>
      </c>
      <c r="F79" s="35" t="n">
        <f aca="false">Assumptions!F$43</f>
        <v>0</v>
      </c>
      <c r="G79" s="35" t="n">
        <f aca="false">Assumptions!G$43</f>
        <v>40000</v>
      </c>
    </row>
    <row r="80" customFormat="false" ht="15" hidden="false" customHeight="false" outlineLevel="0" collapsed="false">
      <c r="A80" s="14" t="s">
        <v>179</v>
      </c>
      <c r="B80" s="2"/>
      <c r="C80" s="35" t="n">
        <f aca="false">Assumptions!C$44</f>
        <v>40000</v>
      </c>
      <c r="D80" s="35" t="n">
        <f aca="false">Assumptions!D$44</f>
        <v>20000</v>
      </c>
      <c r="E80" s="35" t="n">
        <f aca="false">Assumptions!E$44</f>
        <v>20000</v>
      </c>
      <c r="F80" s="35" t="n">
        <f aca="false">Assumptions!F$44</f>
        <v>20000</v>
      </c>
      <c r="G80" s="35" t="n">
        <f aca="false">Assumptions!G$44</f>
        <v>20000</v>
      </c>
    </row>
    <row r="81" customFormat="false" ht="15" hidden="false" customHeight="false" outlineLevel="0" collapsed="false">
      <c r="A81" s="38" t="s">
        <v>180</v>
      </c>
      <c r="B81" s="2"/>
      <c r="C81" s="39" t="n">
        <f aca="false">SUM(C72:C80)</f>
        <v>963232.42</v>
      </c>
      <c r="D81" s="39" t="n">
        <f aca="false">SUM(D72:D80)</f>
        <v>982393.94</v>
      </c>
      <c r="E81" s="39" t="n">
        <f aca="false">SUM(E72:E80)</f>
        <v>1292650.48</v>
      </c>
      <c r="F81" s="39" t="n">
        <f aca="false">SUM(F72:F80)</f>
        <v>1599737.67</v>
      </c>
      <c r="G81" s="39" t="n">
        <f aca="false">SUM(G72:G80)</f>
        <v>2000247.3</v>
      </c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5" hidden="false" customHeight="false" outlineLevel="0" collapsed="false">
      <c r="A83" s="12" t="s">
        <v>181</v>
      </c>
      <c r="B83" s="13"/>
      <c r="C83" s="13"/>
      <c r="D83" s="13"/>
      <c r="E83" s="13"/>
      <c r="F83" s="13"/>
      <c r="G83" s="13"/>
    </row>
    <row r="84" customFormat="false" ht="15" hidden="false" customHeight="false" outlineLevel="0" collapsed="false">
      <c r="A84" s="38" t="s">
        <v>182</v>
      </c>
      <c r="B84" s="2"/>
      <c r="C84" s="39" t="n">
        <f aca="false">C69-C81</f>
        <v>-703739.185</v>
      </c>
      <c r="D84" s="39" t="n">
        <f aca="false">D69-D81</f>
        <v>-251230.72</v>
      </c>
      <c r="E84" s="39" t="n">
        <f aca="false">E69-E81</f>
        <v>116570.21</v>
      </c>
      <c r="F84" s="39" t="n">
        <f aca="false">F69-F81</f>
        <v>512426.715</v>
      </c>
      <c r="G84" s="39" t="n">
        <f aca="false">G69-G81</f>
        <v>843657.325</v>
      </c>
    </row>
    <row r="85" customFormat="false" ht="15" hidden="false" customHeight="false" outlineLevel="0" collapsed="false">
      <c r="A85" s="14" t="s">
        <v>183</v>
      </c>
      <c r="B85" s="2"/>
      <c r="C85" s="29" t="n">
        <f aca="false">IF(C68=0,0,C84/C68)</f>
        <v>-0.954601875728255</v>
      </c>
      <c r="D85" s="29" t="n">
        <f aca="false">IF(D68=0,0,D84/D68)</f>
        <v>-0.120211895407386</v>
      </c>
      <c r="E85" s="29" t="n">
        <f aca="false">IF(E68=0,0,E84/E68)</f>
        <v>0.0282422735461688</v>
      </c>
      <c r="F85" s="29" t="n">
        <f aca="false">IF(F68=0,0,F84/F68)</f>
        <v>0.083155181077438</v>
      </c>
      <c r="G85" s="29" t="n">
        <f aca="false">IF(G68=0,0,G84/G68)</f>
        <v>0.103675820634338</v>
      </c>
    </row>
    <row r="86" customFormat="false" ht="15" hidden="false" customHeight="false" outlineLevel="0" collapsed="false">
      <c r="A86" s="3" t="s">
        <v>184</v>
      </c>
      <c r="B86" s="2"/>
      <c r="C86" s="40" t="n">
        <f aca="false">Assumptions!$B$48+C84</f>
        <v>-103739.185</v>
      </c>
      <c r="D86" s="40" t="n">
        <f aca="false">C86+D84</f>
        <v>-354969.905</v>
      </c>
      <c r="E86" s="40" t="n">
        <f aca="false">D86+E84</f>
        <v>-238399.695</v>
      </c>
      <c r="F86" s="40" t="n">
        <f aca="false">E86+F84</f>
        <v>274027.020000001</v>
      </c>
      <c r="G86" s="40" t="n">
        <f aca="false">F86+G84</f>
        <v>1117684.345</v>
      </c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5" hidden="false" customHeight="false" outlineLevel="0" collapsed="false">
      <c r="A88" s="12" t="s">
        <v>185</v>
      </c>
      <c r="B88" s="13"/>
      <c r="C88" s="13"/>
      <c r="D88" s="13"/>
      <c r="E88" s="13"/>
      <c r="F88" s="13"/>
      <c r="G88" s="13"/>
    </row>
    <row r="89" customFormat="false" ht="15" hidden="false" customHeight="false" outlineLevel="0" collapsed="false">
      <c r="A89" s="14" t="s">
        <v>186</v>
      </c>
      <c r="B89" s="2"/>
      <c r="C89" s="29" t="n">
        <f aca="false">IF(C61=0,0,C62/C61)</f>
        <v>0.344105647160424</v>
      </c>
      <c r="D89" s="29" t="n">
        <f aca="false">IF(D61=0,0,D62/D61)</f>
        <v>0.330557927607366</v>
      </c>
      <c r="E89" s="29" t="n">
        <f aca="false">IF(E61=0,0,E62/E61)</f>
        <v>0.311744626516603</v>
      </c>
      <c r="F89" s="29" t="n">
        <f aca="false">IF(F61=0,0,F62/F61)</f>
        <v>0.301959798657203</v>
      </c>
      <c r="G89" s="29" t="n">
        <f aca="false">IF(G61=0,0,G62/G61)</f>
        <v>0.292576821370164</v>
      </c>
    </row>
    <row r="90" customFormat="false" ht="15" hidden="false" customHeight="false" outlineLevel="0" collapsed="false">
      <c r="A90" s="14" t="s">
        <v>187</v>
      </c>
      <c r="B90" s="2"/>
      <c r="C90" s="35" t="n">
        <f aca="false">C9*Assumptions!$B$47</f>
        <v>70000</v>
      </c>
      <c r="D90" s="35" t="n">
        <f aca="false">D9*Assumptions!$B$47</f>
        <v>190000</v>
      </c>
      <c r="E90" s="35" t="n">
        <f aca="false">E9*Assumptions!$B$47</f>
        <v>380000</v>
      </c>
      <c r="F90" s="35" t="n">
        <f aca="false">F9*Assumptions!$B$47</f>
        <v>570000</v>
      </c>
      <c r="G90" s="35" t="n">
        <f aca="false">G9*Assumptions!$B$47</f>
        <v>750000</v>
      </c>
    </row>
    <row r="91" customFormat="false" ht="15" hidden="false" customHeight="false" outlineLevel="0" collapsed="false">
      <c r="A91" s="14" t="s">
        <v>188</v>
      </c>
      <c r="B91" s="2"/>
      <c r="C91" s="36" t="n">
        <f aca="false">C72</f>
        <v>320000</v>
      </c>
      <c r="D91" s="36" t="n">
        <f aca="false">D72</f>
        <v>320000</v>
      </c>
      <c r="E91" s="36" t="n">
        <f aca="false">E72</f>
        <v>480000</v>
      </c>
      <c r="F91" s="36" t="n">
        <f aca="false">F72</f>
        <v>480000</v>
      </c>
      <c r="G91" s="36" t="n">
        <f aca="false">G72</f>
        <v>640000</v>
      </c>
    </row>
    <row r="92" customFormat="false" ht="15" hidden="false" customHeight="false" outlineLevel="0" collapsed="false">
      <c r="A92" s="3" t="s">
        <v>189</v>
      </c>
      <c r="B92" s="2"/>
      <c r="C92" s="41" t="n">
        <f aca="false">IF(C91=0,0,C90/C91)</f>
        <v>0.21875</v>
      </c>
      <c r="D92" s="41" t="n">
        <f aca="false">IF(D91=0,0,D90/D91)</f>
        <v>0.59375</v>
      </c>
      <c r="E92" s="41" t="n">
        <f aca="false">IF(E91=0,0,E90/E91)</f>
        <v>0.791666666666667</v>
      </c>
      <c r="F92" s="41" t="n">
        <f aca="false">IF(F91=0,0,F90/F91)</f>
        <v>1.1875</v>
      </c>
      <c r="G92" s="41" t="n">
        <f aca="false">IF(G91=0,0,G90/G91)</f>
        <v>1.171875</v>
      </c>
    </row>
    <row r="93" customFormat="false" ht="15" hidden="false" customHeight="false" outlineLevel="0" collapsed="false">
      <c r="A93" s="14" t="s">
        <v>190</v>
      </c>
      <c r="B93" s="2"/>
      <c r="C93" s="28" t="n">
        <f aca="false">Products!$B$5*(1-Products!$G$5*(1-Assumptions!C$13)*Assumptions!$B$14)*(1-Assumptions!$B$15-Assumptions!$B$16)-Products!$H$5</f>
        <v>30.27</v>
      </c>
      <c r="D93" s="28" t="n">
        <f aca="false">Products!$B$5*(1-Products!$G$5*(1-Assumptions!D$13)*Assumptions!$B$14)*(1-Assumptions!$B$15-Assumptions!$B$16)-Products!$H$5</f>
        <v>29.02845</v>
      </c>
      <c r="E93" s="28" t="n">
        <f aca="false">Products!$B$5*(1-Products!$G$5*(1-Assumptions!E$13)*Assumptions!$B$14)*(1-Assumptions!$B$15-Assumptions!$B$16)-Products!$H$5</f>
        <v>26.54535</v>
      </c>
      <c r="F93" s="28" t="n">
        <f aca="false">Products!$B$5*(1-Products!$G$5*(1-Assumptions!F$13)*Assumptions!$B$14)*(1-Assumptions!$B$15-Assumptions!$B$16)-Products!$H$5</f>
        <v>25.3038</v>
      </c>
      <c r="G93" s="28" t="n">
        <f aca="false">Products!$B$5*(1-Products!$G$5*(1-Assumptions!G$13)*Assumptions!$B$14)*(1-Assumptions!$B$15-Assumptions!$B$16)-Products!$H$5</f>
        <v>24.06225</v>
      </c>
    </row>
    <row r="94" customFormat="false" ht="15" hidden="false" customHeight="false" outlineLevel="0" collapsed="false">
      <c r="A94" s="3" t="s">
        <v>191</v>
      </c>
      <c r="B94" s="2"/>
      <c r="C94" s="32" t="n">
        <f aca="false">IF(C93&lt;=0,"n/a",MAX(0,(C81-(C69-C23))/C93))</f>
        <v>29248.7342253056</v>
      </c>
      <c r="D94" s="32" t="n">
        <f aca="false">IF(D93&lt;=0,"n/a",MAX(0,(D81-(D69-D23))/D93))</f>
        <v>23654.6377777663</v>
      </c>
      <c r="E94" s="32" t="n">
        <f aca="false">IF(E93&lt;=0,"n/a",MAX(0,(E81-(E69-E23))/E93))</f>
        <v>25608.6391778598</v>
      </c>
      <c r="F94" s="32" t="n">
        <f aca="false">IF(F93&lt;=0,"n/a",MAX(0,(F81-(F69-F23))/F93))</f>
        <v>24749.0212932445</v>
      </c>
      <c r="G94" s="32" t="n">
        <f aca="false">IF(G93&lt;=0,"n/a",MAX(0,(G81-(G69-G23))/G93))</f>
        <v>24938.5520888529</v>
      </c>
    </row>
    <row r="95" customFormat="false" ht="15" hidden="false" customHeight="false" outlineLevel="0" collapsed="false">
      <c r="A95" s="14" t="s">
        <v>192</v>
      </c>
      <c r="B95" s="2"/>
      <c r="C95" s="33" t="n">
        <f aca="false">IF(ISNUMBER(C94),C5-C94,"n/a")</f>
        <v>-23248.7342253056</v>
      </c>
      <c r="D95" s="33" t="n">
        <f aca="false">IF(ISNUMBER(D94),D5-D94,"n/a")</f>
        <v>-8654.6377777663</v>
      </c>
      <c r="E95" s="33" t="n">
        <f aca="false">IF(ISNUMBER(E94),E5-E94,"n/a")</f>
        <v>4391.36082214021</v>
      </c>
      <c r="F95" s="33" t="n">
        <f aca="false">IF(ISNUMBER(F94),F5-F94,"n/a")</f>
        <v>20250.9787067555</v>
      </c>
      <c r="G95" s="33" t="n">
        <f aca="false">IF(ISNUMBER(G94),G5-G94,"n/a")</f>
        <v>35061.4479111471</v>
      </c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5" hidden="false" customHeight="false" outlineLevel="0" collapsed="false">
      <c r="A97" s="12" t="s">
        <v>193</v>
      </c>
      <c r="B97" s="13"/>
      <c r="C97" s="13"/>
      <c r="D97" s="13"/>
      <c r="E97" s="13"/>
      <c r="F97" s="13"/>
      <c r="G97" s="13"/>
    </row>
    <row r="98" customFormat="false" ht="15" hidden="false" customHeight="false" outlineLevel="0" collapsed="false">
      <c r="A98" s="3" t="s">
        <v>194</v>
      </c>
      <c r="B98" s="2"/>
      <c r="C98" s="42" t="n">
        <f aca="false">MIN(C86:G86)</f>
        <v>-354969.905</v>
      </c>
      <c r="D98" s="2"/>
      <c r="E98" s="2"/>
      <c r="F98" s="2"/>
      <c r="G98" s="2"/>
    </row>
    <row r="99" customFormat="false" ht="15" hidden="false" customHeight="false" outlineLevel="0" collapsed="false">
      <c r="A99" s="3" t="s">
        <v>195</v>
      </c>
      <c r="B99" s="2"/>
      <c r="C99" s="42" t="n">
        <f aca="false">MAX(0,-C98)</f>
        <v>354969.905</v>
      </c>
      <c r="D99" s="2"/>
      <c r="E99" s="2"/>
      <c r="F99" s="2"/>
      <c r="G99" s="2"/>
    </row>
    <row r="100" customFormat="false" ht="15" hidden="false" customHeight="false" outlineLevel="0" collapsed="false">
      <c r="A100" s="3" t="s">
        <v>196</v>
      </c>
      <c r="B100" s="2"/>
      <c r="C100" s="43" t="str">
        <f aca="false">IFERROR(INDEX($C$3:$G$3,MATCH(1,INDEX(--(C84:G84&gt;0),0),0)),"none in 5 years")</f>
        <v>2029</v>
      </c>
      <c r="D100" s="2"/>
      <c r="E100" s="2"/>
      <c r="F100" s="2"/>
      <c r="G100" s="2"/>
    </row>
    <row r="101" customFormat="false" ht="15" hidden="false" customHeight="false" outlineLevel="0" collapsed="false">
      <c r="A101" s="3" t="s">
        <v>197</v>
      </c>
      <c r="B101" s="2"/>
      <c r="C101" s="42" t="n">
        <f aca="false">SUM(C84:G84)</f>
        <v>517684.345</v>
      </c>
      <c r="D101" s="2"/>
      <c r="E101" s="2"/>
      <c r="F101" s="2"/>
      <c r="G101" s="2"/>
    </row>
    <row r="102" customFormat="false" ht="15" hidden="false" customHeight="false" outlineLevel="0" collapsed="false">
      <c r="A102" s="3" t="s">
        <v>198</v>
      </c>
      <c r="B102" s="2"/>
      <c r="C102" s="43" t="str">
        <f aca="false">IFERROR(INDEX($C$3:$G$3,MATCH(1,INDEX(--(C92:G92&gt;=1),0),0)),"not within 5 years")</f>
        <v>2030</v>
      </c>
      <c r="D102" s="2"/>
      <c r="E102" s="2"/>
      <c r="F102" s="2"/>
      <c r="G102" s="2"/>
    </row>
    <row r="103" customFormat="false" ht="15" hidden="false" customHeight="false" outlineLevel="0" collapsed="false">
      <c r="A103" s="9" t="s">
        <v>199</v>
      </c>
      <c r="B103" s="2"/>
      <c r="C103" s="2"/>
      <c r="D103" s="2"/>
      <c r="E103" s="2"/>
      <c r="F103" s="2"/>
      <c r="G10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200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9" t="s">
        <v>201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202</v>
      </c>
      <c r="B4" s="44" t="s">
        <v>40</v>
      </c>
      <c r="C4" s="9" t="s">
        <v>203</v>
      </c>
      <c r="D4" s="2"/>
      <c r="E4" s="2"/>
      <c r="F4" s="2"/>
    </row>
    <row r="5" customFormat="false" ht="15" hidden="false" customHeight="false" outlineLevel="0" collapsed="false">
      <c r="A5" s="14" t="s">
        <v>204</v>
      </c>
      <c r="B5" s="45" t="n">
        <f aca="false">MATCH(B4,Projection!$C$3:$G$3,0)</f>
        <v>3</v>
      </c>
      <c r="C5" s="2"/>
      <c r="D5" s="2"/>
      <c r="E5" s="2"/>
      <c r="F5" s="2"/>
    </row>
    <row r="6" customFormat="false" ht="15" hidden="false" customHeight="false" outlineLevel="0" collapsed="false">
      <c r="A6" s="14" t="s">
        <v>205</v>
      </c>
      <c r="B6" s="35" t="n">
        <f aca="false">INDEX(Projection!$C$84:$G$84,B5)-INDEX(Projection!$C$23:$G$23,B5)</f>
        <v>-679790.29</v>
      </c>
      <c r="C6" s="2"/>
      <c r="D6" s="2"/>
      <c r="E6" s="2"/>
      <c r="F6" s="2"/>
    </row>
    <row r="7" customFormat="false" ht="15" hidden="false" customHeight="false" outlineLevel="0" collapsed="false">
      <c r="A7" s="14" t="s">
        <v>206</v>
      </c>
      <c r="B7" s="46" t="n">
        <f aca="false">INDEX(Assumptions!$C$13:$G$13,B5)</f>
        <v>0.85</v>
      </c>
      <c r="C7" s="2"/>
      <c r="D7" s="2"/>
      <c r="E7" s="2"/>
      <c r="F7" s="2"/>
    </row>
    <row r="8" customFormat="false" ht="15" hidden="false" customHeight="false" outlineLevel="0" collapsed="false">
      <c r="A8" s="14" t="s">
        <v>207</v>
      </c>
      <c r="B8" s="28" t="n">
        <f aca="false">Products!$H$5</f>
        <v>52.5</v>
      </c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47" t="s">
        <v>208</v>
      </c>
      <c r="B10" s="15" t="n">
        <v>5000</v>
      </c>
      <c r="C10" s="15" t="n">
        <v>10000</v>
      </c>
      <c r="D10" s="15" t="n">
        <v>20000</v>
      </c>
      <c r="E10" s="15" t="n">
        <v>40000</v>
      </c>
      <c r="F10" s="15" t="n">
        <v>60000</v>
      </c>
    </row>
    <row r="11" customFormat="false" ht="15" hidden="false" customHeight="false" outlineLevel="0" collapsed="false">
      <c r="A11" s="25" t="n">
        <v>69</v>
      </c>
      <c r="B11" s="36" t="n">
        <f aca="false">$B$6+($A11*(1-Products!$G$5*(1-$B$7)*Assumptions!$B$14)*(1-Assumptions!$B$15-Assumptions!$B$16)-$B$8)*B$10</f>
        <v>-635878.54</v>
      </c>
      <c r="C11" s="36" t="n">
        <f aca="false">$B$6+($A11*(1-Products!$G$5*(1-$B$7)*Assumptions!$B$14)*(1-Assumptions!$B$15-Assumptions!$B$16)-$B$8)*C$10</f>
        <v>-591966.79</v>
      </c>
      <c r="D11" s="36" t="n">
        <f aca="false">$B$6+($A11*(1-Products!$G$5*(1-$B$7)*Assumptions!$B$14)*(1-Assumptions!$B$15-Assumptions!$B$16)-$B$8)*D$10</f>
        <v>-504143.29</v>
      </c>
      <c r="E11" s="36" t="n">
        <f aca="false">$B$6+($A11*(1-Products!$G$5*(1-$B$7)*Assumptions!$B$14)*(1-Assumptions!$B$15-Assumptions!$B$16)-$B$8)*E$10</f>
        <v>-328496.29</v>
      </c>
      <c r="F11" s="36" t="n">
        <f aca="false">$B$6+($A11*(1-Products!$G$5*(1-$B$7)*Assumptions!$B$14)*(1-Assumptions!$B$15-Assumptions!$B$16)-$B$8)*F$10</f>
        <v>-152849.29</v>
      </c>
    </row>
    <row r="12" customFormat="false" ht="15" hidden="false" customHeight="false" outlineLevel="0" collapsed="false">
      <c r="A12" s="25" t="n">
        <v>79</v>
      </c>
      <c r="B12" s="36" t="n">
        <f aca="false">$B$6+($A12*(1-Products!$G$5*(1-$B$7)*Assumptions!$B$14)*(1-Assumptions!$B$15-Assumptions!$B$16)-$B$8)*B$10</f>
        <v>-591471.04</v>
      </c>
      <c r="C12" s="36" t="n">
        <f aca="false">$B$6+($A12*(1-Products!$G$5*(1-$B$7)*Assumptions!$B$14)*(1-Assumptions!$B$15-Assumptions!$B$16)-$B$8)*C$10</f>
        <v>-503151.79</v>
      </c>
      <c r="D12" s="36" t="n">
        <f aca="false">$B$6+($A12*(1-Products!$G$5*(1-$B$7)*Assumptions!$B$14)*(1-Assumptions!$B$15-Assumptions!$B$16)-$B$8)*D$10</f>
        <v>-326513.29</v>
      </c>
      <c r="E12" s="36" t="n">
        <f aca="false">$B$6+($A12*(1-Products!$G$5*(1-$B$7)*Assumptions!$B$14)*(1-Assumptions!$B$15-Assumptions!$B$16)-$B$8)*E$10</f>
        <v>26763.7099999993</v>
      </c>
      <c r="F12" s="36" t="n">
        <f aca="false">$B$6+($A12*(1-Products!$G$5*(1-$B$7)*Assumptions!$B$14)*(1-Assumptions!$B$15-Assumptions!$B$16)-$B$8)*F$10</f>
        <v>380040.709999999</v>
      </c>
    </row>
    <row r="13" customFormat="false" ht="15" hidden="false" customHeight="false" outlineLevel="0" collapsed="false">
      <c r="A13" s="25" t="n">
        <v>89</v>
      </c>
      <c r="B13" s="36" t="n">
        <f aca="false">$B$6+($A13*(1-Products!$G$5*(1-$B$7)*Assumptions!$B$14)*(1-Assumptions!$B$15-Assumptions!$B$16)-$B$8)*B$10</f>
        <v>-547063.54</v>
      </c>
      <c r="C13" s="36" t="n">
        <f aca="false">$B$6+($A13*(1-Products!$G$5*(1-$B$7)*Assumptions!$B$14)*(1-Assumptions!$B$15-Assumptions!$B$16)-$B$8)*C$10</f>
        <v>-414336.79</v>
      </c>
      <c r="D13" s="36" t="n">
        <f aca="false">$B$6+($A13*(1-Products!$G$5*(1-$B$7)*Assumptions!$B$14)*(1-Assumptions!$B$15-Assumptions!$B$16)-$B$8)*D$10</f>
        <v>-148883.29</v>
      </c>
      <c r="E13" s="36" t="n">
        <f aca="false">$B$6+($A13*(1-Products!$G$5*(1-$B$7)*Assumptions!$B$14)*(1-Assumptions!$B$15-Assumptions!$B$16)-$B$8)*E$10</f>
        <v>382023.709999999</v>
      </c>
      <c r="F13" s="36" t="n">
        <f aca="false">$B$6+($A13*(1-Products!$G$5*(1-$B$7)*Assumptions!$B$14)*(1-Assumptions!$B$15-Assumptions!$B$16)-$B$8)*F$10</f>
        <v>912930.709999999</v>
      </c>
    </row>
    <row r="14" customFormat="false" ht="15" hidden="false" customHeight="false" outlineLevel="0" collapsed="false">
      <c r="A14" s="25" t="n">
        <v>99</v>
      </c>
      <c r="B14" s="36" t="n">
        <f aca="false">$B$6+($A14*(1-Products!$G$5*(1-$B$7)*Assumptions!$B$14)*(1-Assumptions!$B$15-Assumptions!$B$16)-$B$8)*B$10</f>
        <v>-502656.04</v>
      </c>
      <c r="C14" s="36" t="n">
        <f aca="false">$B$6+($A14*(1-Products!$G$5*(1-$B$7)*Assumptions!$B$14)*(1-Assumptions!$B$15-Assumptions!$B$16)-$B$8)*C$10</f>
        <v>-325521.79</v>
      </c>
      <c r="D14" s="36" t="n">
        <f aca="false">$B$6+($A14*(1-Products!$G$5*(1-$B$7)*Assumptions!$B$14)*(1-Assumptions!$B$15-Assumptions!$B$16)-$B$8)*D$10</f>
        <v>28746.71</v>
      </c>
      <c r="E14" s="36" t="n">
        <f aca="false">$B$6+($A14*(1-Products!$G$5*(1-$B$7)*Assumptions!$B$14)*(1-Assumptions!$B$15-Assumptions!$B$16)-$B$8)*E$10</f>
        <v>737283.71</v>
      </c>
      <c r="F14" s="36" t="n">
        <f aca="false">$B$6+($A14*(1-Products!$G$5*(1-$B$7)*Assumptions!$B$14)*(1-Assumptions!$B$15-Assumptions!$B$16)-$B$8)*F$10</f>
        <v>1445820.71</v>
      </c>
    </row>
    <row r="15" customFormat="false" ht="15" hidden="false" customHeight="false" outlineLevel="0" collapsed="false">
      <c r="A15" s="25" t="n">
        <v>109</v>
      </c>
      <c r="B15" s="36" t="n">
        <f aca="false">$B$6+($A15*(1-Products!$G$5*(1-$B$7)*Assumptions!$B$14)*(1-Assumptions!$B$15-Assumptions!$B$16)-$B$8)*B$10</f>
        <v>-458248.54</v>
      </c>
      <c r="C15" s="36" t="n">
        <f aca="false">$B$6+($A15*(1-Products!$G$5*(1-$B$7)*Assumptions!$B$14)*(1-Assumptions!$B$15-Assumptions!$B$16)-$B$8)*C$10</f>
        <v>-236706.79</v>
      </c>
      <c r="D15" s="36" t="n">
        <f aca="false">$B$6+($A15*(1-Products!$G$5*(1-$B$7)*Assumptions!$B$14)*(1-Assumptions!$B$15-Assumptions!$B$16)-$B$8)*D$10</f>
        <v>206376.71</v>
      </c>
      <c r="E15" s="36" t="n">
        <f aca="false">$B$6+($A15*(1-Products!$G$5*(1-$B$7)*Assumptions!$B$14)*(1-Assumptions!$B$15-Assumptions!$B$16)-$B$8)*E$10</f>
        <v>1092543.71</v>
      </c>
      <c r="F15" s="36" t="n">
        <f aca="false">$B$6+($A15*(1-Products!$G$5*(1-$B$7)*Assumptions!$B$14)*(1-Assumptions!$B$15-Assumptions!$B$16)-$B$8)*F$10</f>
        <v>1978710.71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9" t="s">
        <v>209</v>
      </c>
      <c r="B17" s="2"/>
      <c r="C17" s="2"/>
      <c r="D17" s="2"/>
      <c r="E17" s="2"/>
      <c r="F17" s="2"/>
    </row>
  </sheetData>
  <conditionalFormatting sqref="B11:F15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210</v>
      </c>
      <c r="B1" s="2"/>
      <c r="C1" s="2"/>
      <c r="D1" s="2"/>
      <c r="E1" s="2"/>
    </row>
    <row r="2" customFormat="false" ht="15" hidden="false" customHeight="false" outlineLevel="0" collapsed="false">
      <c r="A2" s="9" t="s">
        <v>211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7" t="s">
        <v>212</v>
      </c>
      <c r="B4" s="47" t="s">
        <v>213</v>
      </c>
      <c r="C4" s="47" t="s">
        <v>214</v>
      </c>
      <c r="D4" s="47" t="s">
        <v>128</v>
      </c>
      <c r="E4" s="47" t="s">
        <v>215</v>
      </c>
    </row>
    <row r="5" customFormat="false" ht="15" hidden="false" customHeight="false" outlineLevel="0" collapsed="false">
      <c r="A5" s="14" t="s">
        <v>216</v>
      </c>
      <c r="B5" s="19" t="n">
        <v>39.99</v>
      </c>
      <c r="C5" s="19" t="n">
        <v>17.99</v>
      </c>
      <c r="D5" s="48" t="s">
        <v>217</v>
      </c>
      <c r="E5" s="9" t="s">
        <v>218</v>
      </c>
    </row>
    <row r="6" customFormat="false" ht="15" hidden="false" customHeight="false" outlineLevel="0" collapsed="false">
      <c r="A6" s="14" t="s">
        <v>219</v>
      </c>
      <c r="B6" s="19" t="n">
        <v>49.99</v>
      </c>
      <c r="C6" s="19" t="n">
        <v>17</v>
      </c>
      <c r="D6" s="48" t="s">
        <v>220</v>
      </c>
      <c r="E6" s="9" t="s">
        <v>221</v>
      </c>
    </row>
    <row r="7" customFormat="false" ht="15" hidden="false" customHeight="false" outlineLevel="0" collapsed="false">
      <c r="A7" s="14" t="s">
        <v>222</v>
      </c>
      <c r="B7" s="19" t="n">
        <v>59.99</v>
      </c>
      <c r="C7" s="19" t="n">
        <v>29.99</v>
      </c>
      <c r="D7" s="48" t="s">
        <v>223</v>
      </c>
      <c r="E7" s="9" t="s">
        <v>224</v>
      </c>
    </row>
    <row r="8" customFormat="false" ht="15" hidden="false" customHeight="false" outlineLevel="0" collapsed="false">
      <c r="A8" s="14" t="s">
        <v>225</v>
      </c>
      <c r="B8" s="19" t="n">
        <v>69.99</v>
      </c>
      <c r="C8" s="19" t="n">
        <v>24.99</v>
      </c>
      <c r="D8" s="48" t="s">
        <v>226</v>
      </c>
      <c r="E8" s="9" t="s">
        <v>218</v>
      </c>
    </row>
    <row r="9" customFormat="false" ht="15" hidden="false" customHeight="false" outlineLevel="0" collapsed="false">
      <c r="A9" s="14" t="s">
        <v>227</v>
      </c>
      <c r="B9" s="19" t="n">
        <v>84.99</v>
      </c>
      <c r="C9" s="19" t="s">
        <v>228</v>
      </c>
      <c r="D9" s="48" t="s">
        <v>229</v>
      </c>
      <c r="E9" s="9" t="s">
        <v>230</v>
      </c>
    </row>
    <row r="10" customFormat="false" ht="15" hidden="false" customHeight="false" outlineLevel="0" collapsed="false">
      <c r="A10" s="14" t="s">
        <v>231</v>
      </c>
      <c r="B10" s="19" t="n">
        <v>40</v>
      </c>
      <c r="C10" s="19" t="n">
        <v>19.99</v>
      </c>
      <c r="D10" s="48" t="s">
        <v>232</v>
      </c>
      <c r="E10" s="9" t="s">
        <v>233</v>
      </c>
    </row>
    <row r="11" customFormat="false" ht="15" hidden="false" customHeight="false" outlineLevel="0" collapsed="false">
      <c r="A11" s="14" t="s">
        <v>234</v>
      </c>
      <c r="B11" s="19" t="n">
        <v>60</v>
      </c>
      <c r="C11" s="19" t="n">
        <v>34</v>
      </c>
      <c r="D11" s="48" t="s">
        <v>235</v>
      </c>
      <c r="E11" s="9" t="s">
        <v>233</v>
      </c>
    </row>
    <row r="12" customFormat="false" ht="15" hidden="false" customHeight="false" outlineLevel="0" collapsed="false">
      <c r="A12" s="14" t="s">
        <v>236</v>
      </c>
      <c r="B12" s="19" t="n">
        <v>80</v>
      </c>
      <c r="C12" s="19" t="s">
        <v>228</v>
      </c>
      <c r="D12" s="48" t="s">
        <v>237</v>
      </c>
      <c r="E12" s="9" t="s">
        <v>238</v>
      </c>
    </row>
    <row r="13" customFormat="false" ht="15" hidden="false" customHeight="false" outlineLevel="0" collapsed="false">
      <c r="A13" s="14" t="s">
        <v>239</v>
      </c>
      <c r="B13" s="19" t="n">
        <v>150</v>
      </c>
      <c r="C13" s="19" t="s">
        <v>228</v>
      </c>
      <c r="D13" s="48" t="s">
        <v>240</v>
      </c>
      <c r="E13" s="9" t="s">
        <v>238</v>
      </c>
    </row>
    <row r="14" customFormat="false" ht="15" hidden="false" customHeight="false" outlineLevel="0" collapsed="false">
      <c r="A14" s="14" t="s">
        <v>241</v>
      </c>
      <c r="B14" s="19" t="n">
        <v>49.98</v>
      </c>
      <c r="C14" s="19" t="s">
        <v>228</v>
      </c>
      <c r="D14" s="48" t="s">
        <v>242</v>
      </c>
      <c r="E14" s="9" t="s">
        <v>243</v>
      </c>
    </row>
    <row r="15" customFormat="false" ht="15" hidden="false" customHeight="false" outlineLevel="0" collapsed="false">
      <c r="A15" s="14" t="s">
        <v>244</v>
      </c>
      <c r="B15" s="19" t="n">
        <v>60</v>
      </c>
      <c r="C15" s="19" t="s">
        <v>228</v>
      </c>
      <c r="D15" s="48" t="s">
        <v>245</v>
      </c>
      <c r="E15" s="9" t="s">
        <v>246</v>
      </c>
    </row>
    <row r="16" customFormat="false" ht="15" hidden="false" customHeight="false" outlineLevel="0" collapsed="false">
      <c r="A16" s="14" t="s">
        <v>247</v>
      </c>
      <c r="B16" s="19" t="n">
        <v>149.99</v>
      </c>
      <c r="C16" s="19" t="s">
        <v>228</v>
      </c>
      <c r="D16" s="48" t="s">
        <v>248</v>
      </c>
      <c r="E16" s="9" t="s">
        <v>246</v>
      </c>
    </row>
    <row r="17" customFormat="false" ht="15" hidden="false" customHeight="false" outlineLevel="0" collapsed="false">
      <c r="A17" s="14" t="s">
        <v>249</v>
      </c>
      <c r="B17" s="19" t="n">
        <v>199</v>
      </c>
      <c r="C17" s="19" t="s">
        <v>228</v>
      </c>
      <c r="D17" s="48" t="s">
        <v>250</v>
      </c>
      <c r="E17" s="9" t="s">
        <v>230</v>
      </c>
    </row>
    <row r="18" customFormat="false" ht="15" hidden="false" customHeight="false" outlineLevel="0" collapsed="false">
      <c r="A18" s="14" t="s">
        <v>251</v>
      </c>
      <c r="B18" s="19" t="n">
        <v>199</v>
      </c>
      <c r="C18" s="19" t="s">
        <v>228</v>
      </c>
      <c r="D18" s="48" t="s">
        <v>252</v>
      </c>
      <c r="E18" s="9" t="s">
        <v>253</v>
      </c>
    </row>
    <row r="19" customFormat="false" ht="15" hidden="false" customHeight="false" outlineLevel="0" collapsed="false">
      <c r="A19" s="14" t="s">
        <v>254</v>
      </c>
      <c r="B19" s="19" t="n">
        <v>44.96</v>
      </c>
      <c r="C19" s="19" t="s">
        <v>228</v>
      </c>
      <c r="D19" s="48" t="s">
        <v>255</v>
      </c>
      <c r="E19" s="9" t="s">
        <v>256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3" t="s">
        <v>257</v>
      </c>
      <c r="B21" s="49" t="n">
        <f aca="false">Products!$B$5</f>
        <v>89</v>
      </c>
      <c r="C21" s="2"/>
      <c r="D21" s="2"/>
      <c r="E21" s="2"/>
    </row>
    <row r="22" customFormat="false" ht="15" hidden="false" customHeight="false" outlineLevel="0" collapsed="false">
      <c r="A22" s="3" t="s">
        <v>258</v>
      </c>
      <c r="B22" s="49" t="n">
        <f aca="false">Products!$B$6</f>
        <v>119</v>
      </c>
      <c r="C22" s="2"/>
      <c r="D22" s="2"/>
      <c r="E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2026-10-16T17:24:55Z</dcterms:created>
  <dc:creator>openpyxl</dc:creator>
  <dc:description/>
  <dc:language>en-US</dc:language>
  <cp:lastModifiedBy/>
  <dcterms:modified xsi:type="dcterms:W3CDTF">2026-10-16T17:24:56Z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